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hidePivotFieldList="1"/>
  <mc:AlternateContent xmlns:mc="http://schemas.openxmlformats.org/markup-compatibility/2006">
    <mc:Choice Requires="x15">
      <x15ac:absPath xmlns:x15ac="http://schemas.microsoft.com/office/spreadsheetml/2010/11/ac" url="/Users/hathithuyhien/Downloads/"/>
    </mc:Choice>
  </mc:AlternateContent>
  <xr:revisionPtr revIDLastSave="0" documentId="13_ncr:1_{A62E91F1-F6DE-D043-A91C-0A3B695C3BA9}" xr6:coauthVersionLast="47" xr6:coauthVersionMax="47" xr10:uidLastSave="{00000000-0000-0000-0000-000000000000}"/>
  <bookViews>
    <workbookView xWindow="0" yWindow="0" windowWidth="25600" windowHeight="16000" activeTab="3" xr2:uid="{CAB431F2-38F9-42E6-AE5E-56D1E28251B5}"/>
  </bookViews>
  <sheets>
    <sheet name="Sheet1" sheetId="2" r:id="rId1"/>
    <sheet name="Sheet2" sheetId="3" r:id="rId2"/>
    <sheet name="Descriptive Statistics" sheetId="4" r:id="rId3"/>
    <sheet name="Cleaned_Students_Performance" sheetId="1" r:id="rId4"/>
  </sheets>
  <definedNames>
    <definedName name="_xlnm._FilterDatabase" localSheetId="3" hidden="1">Cleaned_Students_Performance!$H$1:$H$1004</definedName>
  </definedNames>
  <calcPr calcId="191029"/>
  <pivotCaches>
    <pivotCache cacheId="5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1" l="1"/>
  <c r="H109" i="1"/>
  <c r="H45" i="1"/>
  <c r="H33" i="1"/>
</calcChain>
</file>

<file path=xl/sharedStrings.xml><?xml version="1.0" encoding="utf-8"?>
<sst xmlns="http://schemas.openxmlformats.org/spreadsheetml/2006/main" count="441" uniqueCount="47">
  <si>
    <t>gender</t>
  </si>
  <si>
    <t>race_ethnicity</t>
  </si>
  <si>
    <t>parental_level_of_education</t>
  </si>
  <si>
    <t>math_score</t>
  </si>
  <si>
    <t>reading_score</t>
  </si>
  <si>
    <t>writing_score</t>
  </si>
  <si>
    <t>total_score</t>
  </si>
  <si>
    <t>average_score</t>
  </si>
  <si>
    <t>group B</t>
  </si>
  <si>
    <t>bachelor's degree</t>
  </si>
  <si>
    <t>group C</t>
  </si>
  <si>
    <t>some college</t>
  </si>
  <si>
    <t>master's degree</t>
  </si>
  <si>
    <t>group A</t>
  </si>
  <si>
    <t>associate's degree</t>
  </si>
  <si>
    <t>group D</t>
  </si>
  <si>
    <t>high school</t>
  </si>
  <si>
    <t>some high school</t>
  </si>
  <si>
    <t>group E</t>
  </si>
  <si>
    <t>Unknown</t>
  </si>
  <si>
    <t>Row Labels</t>
  </si>
  <si>
    <t>Grand Total</t>
  </si>
  <si>
    <t>Average of average_score</t>
  </si>
  <si>
    <t>unknown</t>
  </si>
  <si>
    <t>Female</t>
  </si>
  <si>
    <t>Male</t>
  </si>
  <si>
    <t>Reading</t>
  </si>
  <si>
    <t>Writing</t>
  </si>
  <si>
    <t>Math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</si>
  <si>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</si>
  <si>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</si>
  <si>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</si>
  <si>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</si>
  <si>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</si>
  <si>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</si>
  <si>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</si>
  <si>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</si>
  <si>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</si>
  <si>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</si>
  <si>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</si>
  <si>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</si>
  <si>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</si>
  <si>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Metric</t>
  </si>
  <si>
    <t>Math Score</t>
  </si>
  <si>
    <t>Reading Score</t>
  </si>
  <si>
    <t>Writing Score</t>
  </si>
  <si>
    <t>Average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</si>
</sst>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0" borderId="0" xfId="0" applyFont="1"/>
    <xf numFmtId="2" fontId="18" fillId="0" borderId="0" xfId="0" applyNumberFormat="1" applyFont="1" applyFill="1" applyBorder="1" applyAlignment="1">
      <alignment horizontal="center"/>
    </xf>
    <xf numFmtId="0" fontId="19" fillId="0" borderId="11" xfId="0" applyFont="1" applyFill="1" applyBorder="1" applyAlignment="1"/>
    <xf numFmtId="2" fontId="18" fillId="0" borderId="14" xfId="0" applyNumberFormat="1" applyFont="1" applyFill="1" applyBorder="1" applyAlignment="1">
      <alignment horizontal="center"/>
    </xf>
    <xf numFmtId="0" fontId="19" fillId="34" borderId="11" xfId="0" applyFont="1" applyFill="1" applyBorder="1" applyAlignment="1"/>
    <xf numFmtId="2" fontId="18" fillId="34" borderId="0" xfId="0" applyNumberFormat="1" applyFont="1" applyFill="1" applyBorder="1" applyAlignment="1">
      <alignment horizontal="center"/>
    </xf>
    <xf numFmtId="2" fontId="18" fillId="34" borderId="14" xfId="0" applyNumberFormat="1" applyFont="1" applyFill="1" applyBorder="1" applyAlignment="1">
      <alignment horizontal="center"/>
    </xf>
    <xf numFmtId="0" fontId="19" fillId="34" borderId="12" xfId="0" applyFont="1" applyFill="1" applyBorder="1" applyAlignment="1"/>
    <xf numFmtId="2" fontId="18" fillId="34" borderId="10" xfId="0" applyNumberFormat="1" applyFont="1" applyFill="1" applyBorder="1" applyAlignment="1">
      <alignment horizontal="center"/>
    </xf>
    <xf numFmtId="2" fontId="18" fillId="34" borderId="15" xfId="0" applyNumberFormat="1" applyFont="1" applyFill="1" applyBorder="1" applyAlignment="1">
      <alignment horizontal="center"/>
    </xf>
    <xf numFmtId="0" fontId="19" fillId="33" borderId="13" xfId="0" applyFont="1" applyFill="1" applyBorder="1" applyAlignment="1">
      <alignment horizontal="center" vertical="center"/>
    </xf>
    <xf numFmtId="2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[06_Student Perfomance.xlsx]Sheet1!PivotTable1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 Score by Parental Education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744-D24C-A2CA-DE6EE08BDD4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Sheet1!$A$4:$A$11</c:f>
              <c:strCache>
                <c:ptCount val="7"/>
                <c:pt idx="0">
                  <c:v>Unknown</c:v>
                </c:pt>
                <c:pt idx="1">
                  <c:v>some high school</c:v>
                </c:pt>
                <c:pt idx="2">
                  <c:v>high school</c:v>
                </c:pt>
                <c:pt idx="3">
                  <c:v>associate's degree</c:v>
                </c:pt>
                <c:pt idx="4">
                  <c:v>some college</c:v>
                </c:pt>
                <c:pt idx="5">
                  <c:v>master's degree</c:v>
                </c:pt>
                <c:pt idx="6">
                  <c:v>bachelor's degree</c:v>
                </c:pt>
              </c:strCache>
            </c:strRef>
          </c:cat>
          <c:val>
            <c:numRef>
              <c:f>Sheet1!$B$4:$B$11</c:f>
              <c:numCache>
                <c:formatCode>0.00</c:formatCode>
                <c:ptCount val="7"/>
                <c:pt idx="0">
                  <c:v>50.99999999999995</c:v>
                </c:pt>
                <c:pt idx="1">
                  <c:v>60.462365591397806</c:v>
                </c:pt>
                <c:pt idx="2">
                  <c:v>62.288888888888827</c:v>
                </c:pt>
                <c:pt idx="3">
                  <c:v>65.782312925170018</c:v>
                </c:pt>
                <c:pt idx="4">
                  <c:v>67.700680272108812</c:v>
                </c:pt>
                <c:pt idx="5">
                  <c:v>72.274705882352904</c:v>
                </c:pt>
                <c:pt idx="6">
                  <c:v>73.031746031745968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44-D24C-A2CA-DE6EE08BDD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47641536"/>
        <c:axId val="1447554576"/>
      </c:barChart>
      <c:catAx>
        <c:axId val="1447641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447554576"/>
        <c:crosses val="autoZero"/>
        <c:auto val="1"/>
        <c:lblAlgn val="ctr"/>
        <c:lblOffset val="100"/>
        <c:noMultiLvlLbl val="0"/>
      </c:catAx>
      <c:valAx>
        <c:axId val="144755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447641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[06_Student Perfomance.xlsx]Sheet2!PivotTable3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Academic Performance by Gender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Reading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Sheet2!$B$4:$B$6</c:f>
              <c:numCache>
                <c:formatCode>0.00</c:formatCode>
                <c:ptCount val="2"/>
                <c:pt idx="0">
                  <c:v>72.454545454545453</c:v>
                </c:pt>
                <c:pt idx="1">
                  <c:v>62.85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50-194D-8241-D2167ACFC431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Writing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Sheet2!$C$4:$C$6</c:f>
              <c:numCache>
                <c:formatCode>0.00</c:formatCode>
                <c:ptCount val="2"/>
                <c:pt idx="0">
                  <c:v>71.898989898989896</c:v>
                </c:pt>
                <c:pt idx="1">
                  <c:v>60.89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50-194D-8241-D2167ACFC431}"/>
            </c:ext>
          </c:extLst>
        </c:ser>
        <c:ser>
          <c:idx val="2"/>
          <c:order val="2"/>
          <c:tx>
            <c:strRef>
              <c:f>Sheet2!$D$3</c:f>
              <c:strCache>
                <c:ptCount val="1"/>
                <c:pt idx="0">
                  <c:v>Math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Sheet2!$D$4:$D$6</c:f>
              <c:numCache>
                <c:formatCode>0.00</c:formatCode>
                <c:ptCount val="2"/>
                <c:pt idx="0">
                  <c:v>63.565656565656568</c:v>
                </c:pt>
                <c:pt idx="1">
                  <c:v>64.86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50-194D-8241-D2167ACFC43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90331616"/>
        <c:axId val="1308857584"/>
      </c:barChart>
      <c:catAx>
        <c:axId val="159033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308857584"/>
        <c:crosses val="autoZero"/>
        <c:auto val="1"/>
        <c:lblAlgn val="ctr"/>
        <c:lblOffset val="100"/>
        <c:noMultiLvlLbl val="0"/>
      </c:catAx>
      <c:valAx>
        <c:axId val="13088575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590331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12700</xdr:colOff>
      <xdr:row>2</xdr:row>
      <xdr:rowOff>0</xdr:rowOff>
    </xdr:from>
    <xdr:to>
      <xdr:col>13</xdr:col>
      <xdr:colOff>723900</xdr:colOff>
      <xdr:row>32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F5C8DB-BBF2-90D8-9276-0176108440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177800</xdr:rowOff>
    </xdr:from>
    <xdr:to>
      <xdr:col>14</xdr:col>
      <xdr:colOff>495300</xdr:colOff>
      <xdr:row>30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303A68-25FD-771A-0B81-5155933DBB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 THI THUY HIEN" refreshedDate="46228.574972800925" createdVersion="8" refreshedVersion="8" minRefreshableVersion="3" recordCount="199" xr:uid="{602FF2C1-7505-C34F-A934-F6F0042BF685}">
  <cacheSource type="worksheet">
    <worksheetSource ref="A1:H200" sheet="Cleaned_Students_Performance"/>
  </cacheSource>
  <cacheFields count="8">
    <cacheField name="gender" numFmtId="0">
      <sharedItems containsSemiMixedTypes="0" containsString="0" containsNumber="1" containsInteger="1" minValue="0" maxValue="1" count="2">
        <n v="0"/>
        <n v="1"/>
      </sharedItems>
    </cacheField>
    <cacheField name="race_ethnicity" numFmtId="0">
      <sharedItems/>
    </cacheField>
    <cacheField name="parental_level_of_education" numFmtId="0">
      <sharedItems count="7">
        <s v="bachelor's degree"/>
        <s v="some college"/>
        <s v="master's degree"/>
        <s v="associate's degree"/>
        <s v="high school"/>
        <s v="some high school"/>
        <s v="Unknown"/>
      </sharedItems>
    </cacheField>
    <cacheField name="math_score" numFmtId="0">
      <sharedItems containsSemiMixedTypes="0" containsString="0" containsNumber="1" containsInteger="1" minValue="0" maxValue="100"/>
    </cacheField>
    <cacheField name="reading_score" numFmtId="0">
      <sharedItems containsSemiMixedTypes="0" containsString="0" containsNumber="1" containsInteger="1" minValue="17" maxValue="100"/>
    </cacheField>
    <cacheField name="writing_score" numFmtId="0">
      <sharedItems containsSemiMixedTypes="0" containsString="0" containsNumber="1" containsInteger="1" minValue="10" maxValue="100"/>
    </cacheField>
    <cacheField name="total_score" numFmtId="0">
      <sharedItems containsSemiMixedTypes="0" containsString="0" containsNumber="1" containsInteger="1" minValue="27" maxValue="299"/>
    </cacheField>
    <cacheField name="average_score" numFmtId="0">
      <sharedItems containsSemiMixedTypes="0" containsString="0" containsNumber="1" minValue="9" maxValue="99.66666666666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">
  <r>
    <x v="0"/>
    <s v="group B"/>
    <x v="0"/>
    <n v="72"/>
    <n v="72"/>
    <n v="74"/>
    <n v="218"/>
    <n v="72.6666666666666"/>
  </r>
  <r>
    <x v="0"/>
    <s v="group C"/>
    <x v="1"/>
    <n v="69"/>
    <n v="90"/>
    <n v="88"/>
    <n v="247"/>
    <n v="82.3333333333333"/>
  </r>
  <r>
    <x v="0"/>
    <s v="group B"/>
    <x v="2"/>
    <n v="90"/>
    <n v="95"/>
    <n v="93"/>
    <n v="278"/>
    <n v="92.6666666666666"/>
  </r>
  <r>
    <x v="1"/>
    <s v="group A"/>
    <x v="3"/>
    <n v="47"/>
    <n v="57"/>
    <n v="44"/>
    <n v="148"/>
    <n v="49.3333333333333"/>
  </r>
  <r>
    <x v="1"/>
    <s v="group C"/>
    <x v="1"/>
    <n v="76"/>
    <n v="78"/>
    <n v="75"/>
    <n v="229"/>
    <n v="76.3333333333333"/>
  </r>
  <r>
    <x v="0"/>
    <s v="group B"/>
    <x v="3"/>
    <n v="71"/>
    <n v="83"/>
    <n v="78"/>
    <n v="232"/>
    <n v="77.3333333333333"/>
  </r>
  <r>
    <x v="0"/>
    <s v="group B"/>
    <x v="1"/>
    <n v="88"/>
    <n v="95"/>
    <n v="92"/>
    <n v="275"/>
    <n v="91.6666666666666"/>
  </r>
  <r>
    <x v="1"/>
    <s v="group B"/>
    <x v="1"/>
    <n v="40"/>
    <n v="43"/>
    <n v="39"/>
    <n v="122"/>
    <n v="40.6666666666666"/>
  </r>
  <r>
    <x v="1"/>
    <s v="group D"/>
    <x v="4"/>
    <n v="64"/>
    <n v="64"/>
    <n v="67"/>
    <n v="195"/>
    <n v="65"/>
  </r>
  <r>
    <x v="0"/>
    <s v="group B"/>
    <x v="4"/>
    <n v="38"/>
    <n v="60"/>
    <n v="50"/>
    <n v="148"/>
    <n v="49.3333333333333"/>
  </r>
  <r>
    <x v="1"/>
    <s v="group C"/>
    <x v="3"/>
    <n v="58"/>
    <n v="54"/>
    <n v="52"/>
    <n v="164"/>
    <n v="54.6666666666666"/>
  </r>
  <r>
    <x v="1"/>
    <s v="group D"/>
    <x v="3"/>
    <n v="40"/>
    <n v="52"/>
    <n v="43"/>
    <n v="135"/>
    <n v="45"/>
  </r>
  <r>
    <x v="0"/>
    <s v="group B"/>
    <x v="4"/>
    <n v="65"/>
    <n v="81"/>
    <n v="73"/>
    <n v="219"/>
    <n v="73"/>
  </r>
  <r>
    <x v="1"/>
    <s v="group A"/>
    <x v="1"/>
    <n v="78"/>
    <n v="72"/>
    <n v="70"/>
    <n v="220"/>
    <n v="73.3333333333333"/>
  </r>
  <r>
    <x v="0"/>
    <s v="group A"/>
    <x v="2"/>
    <n v="50"/>
    <n v="53"/>
    <n v="58"/>
    <n v="161"/>
    <n v="53.6666666666666"/>
  </r>
  <r>
    <x v="0"/>
    <s v="group C"/>
    <x v="5"/>
    <n v="69"/>
    <n v="75"/>
    <n v="78"/>
    <n v="222"/>
    <n v="74"/>
  </r>
  <r>
    <x v="1"/>
    <s v="group C"/>
    <x v="4"/>
    <n v="88"/>
    <n v="89"/>
    <n v="86"/>
    <n v="263"/>
    <n v="87.6666666666666"/>
  </r>
  <r>
    <x v="0"/>
    <s v="group B"/>
    <x v="5"/>
    <n v="18"/>
    <n v="32"/>
    <n v="28"/>
    <n v="78"/>
    <n v="26"/>
  </r>
  <r>
    <x v="1"/>
    <s v="group C"/>
    <x v="2"/>
    <n v="46"/>
    <n v="42"/>
    <n v="46"/>
    <n v="134"/>
    <n v="44.67"/>
  </r>
  <r>
    <x v="0"/>
    <s v="group C"/>
    <x v="3"/>
    <n v="54"/>
    <n v="58"/>
    <n v="61"/>
    <n v="173"/>
    <n v="57.6666666666666"/>
  </r>
  <r>
    <x v="1"/>
    <s v="group D"/>
    <x v="4"/>
    <n v="66"/>
    <n v="69"/>
    <n v="63"/>
    <n v="198"/>
    <n v="66"/>
  </r>
  <r>
    <x v="0"/>
    <s v="group B"/>
    <x v="1"/>
    <n v="65"/>
    <n v="75"/>
    <n v="70"/>
    <n v="210"/>
    <n v="70"/>
  </r>
  <r>
    <x v="1"/>
    <s v="group D"/>
    <x v="1"/>
    <n v="44"/>
    <n v="54"/>
    <n v="53"/>
    <n v="151"/>
    <n v="50.3333333333333"/>
  </r>
  <r>
    <x v="0"/>
    <s v="group C"/>
    <x v="5"/>
    <n v="69"/>
    <n v="73"/>
    <n v="73"/>
    <n v="215"/>
    <n v="71.6666666666666"/>
  </r>
  <r>
    <x v="1"/>
    <s v="group D"/>
    <x v="0"/>
    <n v="74"/>
    <n v="71"/>
    <n v="80"/>
    <n v="225"/>
    <n v="75"/>
  </r>
  <r>
    <x v="1"/>
    <s v="group A"/>
    <x v="2"/>
    <n v="73"/>
    <n v="74"/>
    <n v="72"/>
    <n v="219"/>
    <n v="73"/>
  </r>
  <r>
    <x v="1"/>
    <s v="group B"/>
    <x v="1"/>
    <n v="69"/>
    <n v="54"/>
    <n v="55"/>
    <n v="178"/>
    <n v="59.3333333333333"/>
  </r>
  <r>
    <x v="0"/>
    <s v="group C"/>
    <x v="0"/>
    <n v="67"/>
    <n v="69"/>
    <n v="75"/>
    <n v="211"/>
    <n v="70.3333333333333"/>
  </r>
  <r>
    <x v="1"/>
    <s v="group C"/>
    <x v="4"/>
    <n v="70"/>
    <n v="70"/>
    <n v="65"/>
    <n v="205"/>
    <n v="68.3333333333333"/>
  </r>
  <r>
    <x v="0"/>
    <s v="group D"/>
    <x v="2"/>
    <n v="62"/>
    <n v="70"/>
    <n v="75"/>
    <n v="207"/>
    <n v="69"/>
  </r>
  <r>
    <x v="0"/>
    <s v="group D"/>
    <x v="1"/>
    <n v="69"/>
    <n v="74"/>
    <n v="74"/>
    <n v="217"/>
    <n v="72.3333333333333"/>
  </r>
  <r>
    <x v="0"/>
    <s v="group B"/>
    <x v="1"/>
    <n v="63"/>
    <n v="65"/>
    <n v="61"/>
    <n v="189"/>
    <n v="63"/>
  </r>
  <r>
    <x v="0"/>
    <s v="group E"/>
    <x v="2"/>
    <n v="56"/>
    <n v="72"/>
    <n v="65"/>
    <n v="193"/>
    <n v="64.3333333333333"/>
  </r>
  <r>
    <x v="1"/>
    <s v="group D"/>
    <x v="1"/>
    <n v="40"/>
    <n v="42"/>
    <n v="38"/>
    <n v="120"/>
    <n v="40"/>
  </r>
  <r>
    <x v="1"/>
    <s v="group E"/>
    <x v="1"/>
    <n v="97"/>
    <n v="87"/>
    <n v="82"/>
    <n v="266"/>
    <n v="88.6666666666666"/>
  </r>
  <r>
    <x v="1"/>
    <s v="group E"/>
    <x v="3"/>
    <n v="81"/>
    <n v="81"/>
    <n v="79"/>
    <n v="241"/>
    <n v="80.3333333333333"/>
  </r>
  <r>
    <x v="0"/>
    <s v="group D"/>
    <x v="3"/>
    <n v="74"/>
    <n v="81"/>
    <n v="83"/>
    <n v="238"/>
    <n v="79.3333333333333"/>
  </r>
  <r>
    <x v="0"/>
    <s v="group D"/>
    <x v="5"/>
    <n v="50"/>
    <n v="64"/>
    <n v="59"/>
    <n v="173"/>
    <n v="57.6666666666666"/>
  </r>
  <r>
    <x v="0"/>
    <s v="group D"/>
    <x v="3"/>
    <n v="75"/>
    <n v="90"/>
    <n v="88"/>
    <n v="253"/>
    <n v="84.3333333333333"/>
  </r>
  <r>
    <x v="1"/>
    <s v="group B"/>
    <x v="3"/>
    <n v="57"/>
    <n v="56"/>
    <n v="57"/>
    <n v="170"/>
    <n v="56.6666666666666"/>
  </r>
  <r>
    <x v="1"/>
    <s v="group C"/>
    <x v="3"/>
    <n v="55"/>
    <n v="61"/>
    <n v="54"/>
    <n v="170"/>
    <n v="56.6666666666666"/>
  </r>
  <r>
    <x v="0"/>
    <s v="group C"/>
    <x v="3"/>
    <n v="58"/>
    <n v="73"/>
    <n v="68"/>
    <n v="199"/>
    <n v="66.3333333333333"/>
  </r>
  <r>
    <x v="0"/>
    <s v="group B"/>
    <x v="3"/>
    <n v="53"/>
    <n v="58"/>
    <n v="65"/>
    <n v="176"/>
    <n v="58.6666666666666"/>
  </r>
  <r>
    <x v="1"/>
    <s v="group B"/>
    <x v="1"/>
    <n v="59"/>
    <n v="65"/>
    <n v="66"/>
    <n v="190"/>
    <n v="63.333333333333336"/>
  </r>
  <r>
    <x v="0"/>
    <s v="group E"/>
    <x v="3"/>
    <n v="50"/>
    <n v="56"/>
    <n v="54"/>
    <n v="160"/>
    <n v="53.3333333333333"/>
  </r>
  <r>
    <x v="1"/>
    <s v="group B"/>
    <x v="3"/>
    <n v="65"/>
    <n v="54"/>
    <n v="57"/>
    <n v="176"/>
    <n v="58.6666666666666"/>
  </r>
  <r>
    <x v="0"/>
    <s v="group A"/>
    <x v="3"/>
    <n v="55"/>
    <n v="65"/>
    <n v="62"/>
    <n v="182"/>
    <n v="60.6666666666666"/>
  </r>
  <r>
    <x v="0"/>
    <s v="group C"/>
    <x v="4"/>
    <n v="66"/>
    <n v="71"/>
    <n v="76"/>
    <n v="213"/>
    <n v="71"/>
  </r>
  <r>
    <x v="0"/>
    <s v="group D"/>
    <x v="3"/>
    <n v="57"/>
    <n v="74"/>
    <n v="76"/>
    <n v="207"/>
    <n v="69"/>
  </r>
  <r>
    <x v="1"/>
    <s v="group C"/>
    <x v="4"/>
    <n v="82"/>
    <n v="84"/>
    <n v="82"/>
    <n v="248"/>
    <n v="82.6666666666666"/>
  </r>
  <r>
    <x v="1"/>
    <s v="group E"/>
    <x v="1"/>
    <n v="53"/>
    <n v="55"/>
    <n v="48"/>
    <n v="156"/>
    <n v="52"/>
  </r>
  <r>
    <x v="1"/>
    <s v="group E"/>
    <x v="3"/>
    <n v="77"/>
    <n v="69"/>
    <n v="68"/>
    <n v="214"/>
    <n v="71.3333333333333"/>
  </r>
  <r>
    <x v="1"/>
    <s v="group C"/>
    <x v="1"/>
    <n v="53"/>
    <n v="44"/>
    <n v="42"/>
    <n v="139"/>
    <n v="46.3333333333333"/>
  </r>
  <r>
    <x v="1"/>
    <s v="group D"/>
    <x v="4"/>
    <n v="88"/>
    <n v="78"/>
    <n v="75"/>
    <n v="241"/>
    <n v="80.3333333333333"/>
  </r>
  <r>
    <x v="0"/>
    <s v="group C"/>
    <x v="5"/>
    <n v="71"/>
    <n v="84"/>
    <n v="87"/>
    <n v="242"/>
    <n v="80.6666666666666"/>
  </r>
  <r>
    <x v="0"/>
    <s v="group C"/>
    <x v="4"/>
    <n v="33"/>
    <n v="41"/>
    <n v="43"/>
    <n v="117"/>
    <n v="39"/>
  </r>
  <r>
    <x v="0"/>
    <s v="group E"/>
    <x v="3"/>
    <n v="82"/>
    <n v="85"/>
    <n v="86"/>
    <n v="253"/>
    <n v="84.3333333333333"/>
  </r>
  <r>
    <x v="1"/>
    <s v="group D"/>
    <x v="3"/>
    <n v="52"/>
    <n v="55"/>
    <n v="49"/>
    <n v="156"/>
    <n v="52"/>
  </r>
  <r>
    <x v="1"/>
    <s v="group D"/>
    <x v="1"/>
    <n v="58"/>
    <n v="59"/>
    <n v="58"/>
    <n v="175"/>
    <n v="58.3333333333333"/>
  </r>
  <r>
    <x v="0"/>
    <s v="group C"/>
    <x v="5"/>
    <n v="0"/>
    <n v="17"/>
    <n v="10"/>
    <n v="27"/>
    <n v="9"/>
  </r>
  <r>
    <x v="1"/>
    <s v="group E"/>
    <x v="0"/>
    <n v="79"/>
    <n v="74"/>
    <n v="72"/>
    <n v="225"/>
    <n v="75"/>
  </r>
  <r>
    <x v="1"/>
    <s v="group A"/>
    <x v="6"/>
    <n v="39"/>
    <n v="39"/>
    <n v="34"/>
    <n v="112"/>
    <n v="37.3333333333333"/>
  </r>
  <r>
    <x v="1"/>
    <s v="group A"/>
    <x v="3"/>
    <n v="62"/>
    <n v="61"/>
    <n v="55"/>
    <n v="178"/>
    <n v="59.3333333333333"/>
  </r>
  <r>
    <x v="0"/>
    <s v="group C"/>
    <x v="3"/>
    <n v="69"/>
    <n v="80"/>
    <n v="71"/>
    <n v="220"/>
    <n v="73.3333333333333"/>
  </r>
  <r>
    <x v="0"/>
    <s v="group D"/>
    <x v="5"/>
    <n v="59"/>
    <n v="58"/>
    <n v="59"/>
    <n v="176"/>
    <n v="58.6666666666666"/>
  </r>
  <r>
    <x v="1"/>
    <s v="group B"/>
    <x v="5"/>
    <n v="67"/>
    <n v="64"/>
    <n v="61"/>
    <n v="192"/>
    <n v="64"/>
  </r>
  <r>
    <x v="1"/>
    <s v="group D"/>
    <x v="5"/>
    <n v="45"/>
    <n v="37"/>
    <n v="37"/>
    <n v="119"/>
    <n v="39.6666666666666"/>
  </r>
  <r>
    <x v="0"/>
    <s v="group C"/>
    <x v="1"/>
    <n v="60"/>
    <n v="72"/>
    <n v="74"/>
    <n v="206"/>
    <n v="68.6666666666666"/>
  </r>
  <r>
    <x v="1"/>
    <s v="group B"/>
    <x v="3"/>
    <n v="61"/>
    <n v="58"/>
    <n v="56"/>
    <n v="175"/>
    <n v="58.3333333333333"/>
  </r>
  <r>
    <x v="0"/>
    <s v="group C"/>
    <x v="3"/>
    <n v="39"/>
    <n v="64"/>
    <n v="57"/>
    <n v="160"/>
    <n v="53.3333333333333"/>
  </r>
  <r>
    <x v="0"/>
    <s v="group D"/>
    <x v="6"/>
    <n v="58"/>
    <n v="63"/>
    <n v="73"/>
    <n v="194"/>
    <n v="64.6666666666666"/>
  </r>
  <r>
    <x v="1"/>
    <s v="group D"/>
    <x v="1"/>
    <n v="63"/>
    <n v="55"/>
    <n v="63"/>
    <n v="181"/>
    <n v="60.3333333333333"/>
  </r>
  <r>
    <x v="0"/>
    <s v="group A"/>
    <x v="3"/>
    <n v="41"/>
    <n v="51"/>
    <n v="48"/>
    <n v="140"/>
    <n v="46.6666666666666"/>
  </r>
  <r>
    <x v="1"/>
    <s v="group C"/>
    <x v="5"/>
    <n v="61"/>
    <n v="57"/>
    <n v="56"/>
    <n v="174"/>
    <n v="58"/>
  </r>
  <r>
    <x v="1"/>
    <s v="group C"/>
    <x v="5"/>
    <n v="49"/>
    <n v="49"/>
    <n v="41"/>
    <n v="139"/>
    <n v="46.3333333333333"/>
  </r>
  <r>
    <x v="1"/>
    <s v="group B"/>
    <x v="3"/>
    <n v="44"/>
    <n v="41"/>
    <n v="38"/>
    <n v="123"/>
    <n v="41"/>
  </r>
  <r>
    <x v="1"/>
    <s v="group E"/>
    <x v="5"/>
    <n v="30"/>
    <n v="26"/>
    <n v="22"/>
    <n v="78"/>
    <n v="26"/>
  </r>
  <r>
    <x v="1"/>
    <s v="group A"/>
    <x v="0"/>
    <n v="80"/>
    <n v="78"/>
    <n v="81"/>
    <n v="239"/>
    <n v="79.6666666666666"/>
  </r>
  <r>
    <x v="0"/>
    <s v="group D"/>
    <x v="5"/>
    <n v="61"/>
    <n v="74"/>
    <n v="72"/>
    <n v="207"/>
    <n v="69"/>
  </r>
  <r>
    <x v="0"/>
    <s v="group E"/>
    <x v="2"/>
    <n v="62"/>
    <n v="68"/>
    <n v="68"/>
    <n v="198"/>
    <n v="66"/>
  </r>
  <r>
    <x v="0"/>
    <s v="group B"/>
    <x v="3"/>
    <n v="47"/>
    <n v="49"/>
    <n v="50"/>
    <n v="146"/>
    <n v="48.6666666666666"/>
  </r>
  <r>
    <x v="1"/>
    <s v="group B"/>
    <x v="4"/>
    <n v="49"/>
    <n v="45"/>
    <n v="45"/>
    <n v="139"/>
    <n v="46.3333333333333"/>
  </r>
  <r>
    <x v="1"/>
    <s v="group A"/>
    <x v="1"/>
    <n v="50"/>
    <n v="47"/>
    <n v="54"/>
    <n v="151"/>
    <n v="50.3333333333333"/>
  </r>
  <r>
    <x v="1"/>
    <s v="group E"/>
    <x v="3"/>
    <n v="72"/>
    <n v="64"/>
    <n v="63"/>
    <n v="199"/>
    <n v="66.3333333333333"/>
  </r>
  <r>
    <x v="1"/>
    <s v="group D"/>
    <x v="4"/>
    <n v="42"/>
    <n v="39"/>
    <n v="34"/>
    <n v="115"/>
    <n v="38.3333333333333"/>
  </r>
  <r>
    <x v="0"/>
    <s v="group C"/>
    <x v="1"/>
    <n v="73"/>
    <n v="80"/>
    <n v="82"/>
    <n v="235"/>
    <n v="78.3333333333333"/>
  </r>
  <r>
    <x v="0"/>
    <s v="group C"/>
    <x v="1"/>
    <n v="76"/>
    <n v="83"/>
    <n v="88"/>
    <n v="247"/>
    <n v="82.3333333333333"/>
  </r>
  <r>
    <x v="0"/>
    <s v="group D"/>
    <x v="3"/>
    <n v="71"/>
    <n v="71"/>
    <n v="74"/>
    <n v="216"/>
    <n v="72"/>
  </r>
  <r>
    <x v="0"/>
    <s v="group A"/>
    <x v="1"/>
    <n v="58"/>
    <n v="70"/>
    <n v="67"/>
    <n v="195"/>
    <n v="65"/>
  </r>
  <r>
    <x v="0"/>
    <s v="group D"/>
    <x v="5"/>
    <n v="73"/>
    <n v="86"/>
    <n v="82"/>
    <n v="241"/>
    <n v="80.3333333333333"/>
  </r>
  <r>
    <x v="0"/>
    <s v="group C"/>
    <x v="0"/>
    <n v="65"/>
    <n v="72"/>
    <n v="74"/>
    <n v="211"/>
    <n v="70.3333333333333"/>
  </r>
  <r>
    <x v="1"/>
    <s v="group C"/>
    <x v="4"/>
    <n v="27"/>
    <n v="34"/>
    <n v="36"/>
    <n v="97"/>
    <n v="32.3333333333333"/>
  </r>
  <r>
    <x v="1"/>
    <s v="group C"/>
    <x v="4"/>
    <n v="71"/>
    <n v="79"/>
    <n v="71"/>
    <n v="221"/>
    <n v="73.6666666666666"/>
  </r>
  <r>
    <x v="1"/>
    <s v="group C"/>
    <x v="3"/>
    <n v="43"/>
    <n v="45"/>
    <n v="50"/>
    <n v="138"/>
    <n v="46"/>
  </r>
  <r>
    <x v="0"/>
    <s v="group B"/>
    <x v="1"/>
    <n v="79"/>
    <n v="86"/>
    <n v="92"/>
    <n v="257"/>
    <n v="85.6666666666666"/>
  </r>
  <r>
    <x v="1"/>
    <s v="group C"/>
    <x v="3"/>
    <n v="78"/>
    <n v="81"/>
    <n v="82"/>
    <n v="241"/>
    <n v="80.3333333333333"/>
  </r>
  <r>
    <x v="1"/>
    <s v="group B"/>
    <x v="5"/>
    <n v="65"/>
    <n v="66"/>
    <n v="62"/>
    <n v="193"/>
    <n v="64.3333333333333"/>
  </r>
  <r>
    <x v="0"/>
    <s v="group E"/>
    <x v="1"/>
    <n v="63"/>
    <n v="72"/>
    <n v="70"/>
    <n v="205"/>
    <n v="68.3333333333333"/>
  </r>
  <r>
    <x v="0"/>
    <s v="group D"/>
    <x v="1"/>
    <n v="58"/>
    <n v="67"/>
    <n v="62"/>
    <n v="187"/>
    <n v="62.3333333333333"/>
  </r>
  <r>
    <x v="0"/>
    <s v="group D"/>
    <x v="0"/>
    <n v="65"/>
    <n v="67"/>
    <n v="62"/>
    <n v="194"/>
    <n v="64.6666666666666"/>
  </r>
  <r>
    <x v="1"/>
    <s v="group B"/>
    <x v="1"/>
    <n v="79"/>
    <n v="67"/>
    <n v="67"/>
    <n v="213"/>
    <n v="71"/>
  </r>
  <r>
    <x v="1"/>
    <s v="group D"/>
    <x v="0"/>
    <n v="68"/>
    <n v="74"/>
    <n v="74"/>
    <n v="216"/>
    <n v="72"/>
  </r>
  <r>
    <x v="0"/>
    <s v="group D"/>
    <x v="3"/>
    <n v="85"/>
    <n v="91"/>
    <n v="89"/>
    <n v="265"/>
    <n v="88.3333333333333"/>
  </r>
  <r>
    <x v="1"/>
    <s v="group B"/>
    <x v="4"/>
    <n v="60"/>
    <n v="44"/>
    <n v="47"/>
    <n v="151"/>
    <n v="50.3333333333333"/>
  </r>
  <r>
    <x v="1"/>
    <s v="group C"/>
    <x v="1"/>
    <n v="98"/>
    <n v="86"/>
    <n v="90"/>
    <n v="274"/>
    <n v="91.3333333333333"/>
  </r>
  <r>
    <x v="0"/>
    <s v="group C"/>
    <x v="1"/>
    <n v="58"/>
    <n v="67"/>
    <n v="72"/>
    <n v="197"/>
    <n v="65.6666666666666"/>
  </r>
  <r>
    <x v="0"/>
    <s v="group D"/>
    <x v="2"/>
    <n v="87"/>
    <n v="100"/>
    <n v="100"/>
    <n v="287"/>
    <n v="95.6666666666666"/>
  </r>
  <r>
    <x v="1"/>
    <s v="group E"/>
    <x v="3"/>
    <n v="66"/>
    <n v="63"/>
    <n v="64"/>
    <n v="193"/>
    <n v="64.333333333333329"/>
  </r>
  <r>
    <x v="0"/>
    <s v="group B"/>
    <x v="3"/>
    <n v="52"/>
    <n v="76"/>
    <n v="70"/>
    <n v="198"/>
    <n v="66"/>
  </r>
  <r>
    <x v="0"/>
    <s v="group B"/>
    <x v="5"/>
    <n v="70"/>
    <n v="64"/>
    <n v="72"/>
    <n v="206"/>
    <n v="68.6666666666666"/>
  </r>
  <r>
    <x v="0"/>
    <s v="group D"/>
    <x v="3"/>
    <n v="77"/>
    <n v="89"/>
    <n v="98"/>
    <n v="264"/>
    <n v="88"/>
  </r>
  <r>
    <x v="1"/>
    <s v="group C"/>
    <x v="4"/>
    <n v="62"/>
    <n v="55"/>
    <n v="49"/>
    <n v="166"/>
    <n v="55.3333333333333"/>
  </r>
  <r>
    <x v="1"/>
    <s v="group A"/>
    <x v="3"/>
    <n v="54"/>
    <n v="53"/>
    <n v="47"/>
    <n v="154"/>
    <n v="51.3333333333333"/>
  </r>
  <r>
    <x v="0"/>
    <s v="group D"/>
    <x v="1"/>
    <n v="51"/>
    <n v="58"/>
    <n v="54"/>
    <n v="163"/>
    <n v="54.3333333333333"/>
  </r>
  <r>
    <x v="0"/>
    <s v="group E"/>
    <x v="0"/>
    <n v="99"/>
    <n v="100"/>
    <n v="100"/>
    <n v="299"/>
    <n v="99.6666666666666"/>
  </r>
  <r>
    <x v="1"/>
    <s v="group C"/>
    <x v="4"/>
    <n v="84"/>
    <n v="77"/>
    <n v="74"/>
    <n v="235"/>
    <n v="78.3333333333333"/>
  </r>
  <r>
    <x v="0"/>
    <s v="group B"/>
    <x v="0"/>
    <n v="75"/>
    <n v="85"/>
    <n v="82"/>
    <n v="242"/>
    <n v="80.6666666666666"/>
  </r>
  <r>
    <x v="0"/>
    <s v="group D"/>
    <x v="0"/>
    <n v="78"/>
    <n v="82"/>
    <n v="79"/>
    <n v="239"/>
    <n v="79.6666666666666"/>
  </r>
  <r>
    <x v="0"/>
    <s v="group D"/>
    <x v="5"/>
    <n v="51"/>
    <n v="63"/>
    <n v="61"/>
    <n v="175"/>
    <n v="58.3333333333333"/>
  </r>
  <r>
    <x v="0"/>
    <s v="group C"/>
    <x v="1"/>
    <n v="55"/>
    <n v="69"/>
    <n v="65"/>
    <n v="189"/>
    <n v="63"/>
  </r>
  <r>
    <x v="0"/>
    <s v="group C"/>
    <x v="0"/>
    <n v="79"/>
    <n v="92"/>
    <n v="89"/>
    <n v="260"/>
    <n v="86.6666666666666"/>
  </r>
  <r>
    <x v="1"/>
    <s v="group B"/>
    <x v="3"/>
    <n v="91"/>
    <n v="89"/>
    <n v="92"/>
    <n v="272"/>
    <n v="90.6666666666666"/>
  </r>
  <r>
    <x v="0"/>
    <s v="group C"/>
    <x v="1"/>
    <n v="88"/>
    <n v="93"/>
    <n v="93"/>
    <n v="274"/>
    <n v="91.3333333333333"/>
  </r>
  <r>
    <x v="1"/>
    <s v="group D"/>
    <x v="4"/>
    <n v="63"/>
    <n v="57"/>
    <n v="56"/>
    <n v="176"/>
    <n v="58.6666666666666"/>
  </r>
  <r>
    <x v="1"/>
    <s v="group E"/>
    <x v="1"/>
    <n v="83"/>
    <n v="80"/>
    <n v="73"/>
    <n v="236"/>
    <n v="78.6666666666666"/>
  </r>
  <r>
    <x v="0"/>
    <s v="group B"/>
    <x v="4"/>
    <n v="87"/>
    <n v="95"/>
    <n v="86"/>
    <n v="268"/>
    <n v="89.3333333333333"/>
  </r>
  <r>
    <x v="1"/>
    <s v="group B"/>
    <x v="5"/>
    <n v="72"/>
    <n v="68"/>
    <n v="67"/>
    <n v="207"/>
    <n v="69"/>
  </r>
  <r>
    <x v="1"/>
    <s v="group D"/>
    <x v="1"/>
    <n v="65"/>
    <n v="77"/>
    <n v="74"/>
    <n v="216"/>
    <n v="72"/>
  </r>
  <r>
    <x v="1"/>
    <s v="group D"/>
    <x v="2"/>
    <n v="82"/>
    <n v="82"/>
    <n v="74"/>
    <n v="238"/>
    <n v="79.3333333333333"/>
  </r>
  <r>
    <x v="0"/>
    <s v="group A"/>
    <x v="0"/>
    <n v="51"/>
    <n v="49"/>
    <n v="51"/>
    <n v="151"/>
    <n v="50.3333333333333"/>
  </r>
  <r>
    <x v="1"/>
    <s v="group D"/>
    <x v="2"/>
    <n v="89"/>
    <n v="84"/>
    <n v="82"/>
    <n v="255"/>
    <n v="85"/>
  </r>
  <r>
    <x v="1"/>
    <s v="group C"/>
    <x v="5"/>
    <n v="53"/>
    <n v="37"/>
    <n v="40"/>
    <n v="130"/>
    <n v="43.3333333333333"/>
  </r>
  <r>
    <x v="1"/>
    <s v="group E"/>
    <x v="1"/>
    <n v="87"/>
    <n v="74"/>
    <n v="70"/>
    <n v="231"/>
    <n v="77"/>
  </r>
  <r>
    <x v="0"/>
    <s v="group C"/>
    <x v="1"/>
    <n v="75"/>
    <n v="81"/>
    <n v="84"/>
    <n v="240"/>
    <n v="80"/>
  </r>
  <r>
    <x v="1"/>
    <s v="group D"/>
    <x v="0"/>
    <n v="74"/>
    <n v="79"/>
    <n v="75"/>
    <n v="228"/>
    <n v="76"/>
  </r>
  <r>
    <x v="1"/>
    <s v="group C"/>
    <x v="0"/>
    <n v="58"/>
    <n v="55"/>
    <n v="48"/>
    <n v="161"/>
    <n v="53.6666666666666"/>
  </r>
  <r>
    <x v="1"/>
    <s v="group B"/>
    <x v="5"/>
    <n v="51"/>
    <n v="54"/>
    <n v="41"/>
    <n v="146"/>
    <n v="48.6666666666666"/>
  </r>
  <r>
    <x v="1"/>
    <s v="group E"/>
    <x v="4"/>
    <n v="70"/>
    <n v="55"/>
    <n v="56"/>
    <n v="181"/>
    <n v="60.3333333333333"/>
  </r>
  <r>
    <x v="0"/>
    <s v="group C"/>
    <x v="3"/>
    <n v="59"/>
    <n v="66"/>
    <n v="67"/>
    <n v="192"/>
    <n v="64"/>
  </r>
  <r>
    <x v="1"/>
    <s v="group D"/>
    <x v="1"/>
    <n v="71"/>
    <n v="61"/>
    <n v="69"/>
    <n v="201"/>
    <n v="67"/>
  </r>
  <r>
    <x v="0"/>
    <s v="group D"/>
    <x v="5"/>
    <n v="76"/>
    <n v="72"/>
    <n v="71"/>
    <n v="219"/>
    <n v="73"/>
  </r>
  <r>
    <x v="0"/>
    <s v="group C"/>
    <x v="1"/>
    <n v="59"/>
    <n v="62"/>
    <n v="64"/>
    <n v="185"/>
    <n v="61.6666666666666"/>
  </r>
  <r>
    <x v="0"/>
    <s v="group E"/>
    <x v="1"/>
    <n v="42"/>
    <n v="55"/>
    <n v="54"/>
    <n v="151"/>
    <n v="50.3333333333333"/>
  </r>
  <r>
    <x v="1"/>
    <s v="group A"/>
    <x v="4"/>
    <n v="57"/>
    <n v="43"/>
    <n v="47"/>
    <n v="147"/>
    <n v="49"/>
  </r>
  <r>
    <x v="1"/>
    <s v="group D"/>
    <x v="1"/>
    <n v="88"/>
    <n v="73"/>
    <n v="78"/>
    <n v="239"/>
    <n v="79.6666666666666"/>
  </r>
  <r>
    <x v="0"/>
    <s v="group C"/>
    <x v="1"/>
    <n v="22"/>
    <n v="39"/>
    <n v="33"/>
    <n v="94"/>
    <n v="31.3333333333333"/>
  </r>
  <r>
    <x v="1"/>
    <s v="group B"/>
    <x v="5"/>
    <n v="88"/>
    <n v="84"/>
    <n v="75"/>
    <n v="247"/>
    <n v="82.3333333333333"/>
  </r>
  <r>
    <x v="1"/>
    <s v="group C"/>
    <x v="3"/>
    <n v="73"/>
    <n v="68"/>
    <n v="66"/>
    <n v="207"/>
    <n v="69"/>
  </r>
  <r>
    <x v="0"/>
    <s v="group D"/>
    <x v="0"/>
    <n v="68"/>
    <n v="75"/>
    <n v="81"/>
    <n v="224"/>
    <n v="74.6666666666666"/>
  </r>
  <r>
    <x v="1"/>
    <s v="group E"/>
    <x v="3"/>
    <n v="100"/>
    <n v="100"/>
    <n v="93"/>
    <n v="293"/>
    <n v="97.6666666666666"/>
  </r>
  <r>
    <x v="1"/>
    <s v="group A"/>
    <x v="5"/>
    <n v="62"/>
    <n v="67"/>
    <n v="69"/>
    <n v="198"/>
    <n v="66"/>
  </r>
  <r>
    <x v="1"/>
    <s v="group A"/>
    <x v="0"/>
    <n v="77"/>
    <n v="67"/>
    <n v="68"/>
    <n v="212"/>
    <n v="70.6666666666666"/>
  </r>
  <r>
    <x v="0"/>
    <s v="group B"/>
    <x v="3"/>
    <n v="59"/>
    <n v="70"/>
    <n v="66"/>
    <n v="195"/>
    <n v="65"/>
  </r>
  <r>
    <x v="1"/>
    <s v="group D"/>
    <x v="0"/>
    <n v="54"/>
    <n v="49"/>
    <n v="47"/>
    <n v="150"/>
    <n v="50"/>
  </r>
  <r>
    <x v="1"/>
    <s v="group D"/>
    <x v="5"/>
    <n v="62"/>
    <n v="67"/>
    <n v="61"/>
    <n v="190"/>
    <n v="63.3333333333333"/>
  </r>
  <r>
    <x v="0"/>
    <s v="group C"/>
    <x v="1"/>
    <n v="70"/>
    <n v="89"/>
    <n v="88"/>
    <n v="247"/>
    <n v="82.3333333333333"/>
  </r>
  <r>
    <x v="0"/>
    <s v="group E"/>
    <x v="4"/>
    <n v="66"/>
    <n v="74"/>
    <n v="78"/>
    <n v="218"/>
    <n v="72.6666666666666"/>
  </r>
  <r>
    <x v="1"/>
    <s v="group B"/>
    <x v="1"/>
    <n v="60"/>
    <n v="60"/>
    <n v="60"/>
    <n v="180"/>
    <n v="60"/>
  </r>
  <r>
    <x v="0"/>
    <s v="group B"/>
    <x v="3"/>
    <n v="61"/>
    <n v="86"/>
    <n v="87"/>
    <n v="234"/>
    <n v="78"/>
  </r>
  <r>
    <x v="1"/>
    <s v="group D"/>
    <x v="3"/>
    <n v="66"/>
    <n v="62"/>
    <n v="64"/>
    <n v="192"/>
    <n v="64"/>
  </r>
  <r>
    <x v="1"/>
    <s v="group B"/>
    <x v="3"/>
    <n v="82"/>
    <n v="78"/>
    <n v="74"/>
    <n v="234"/>
    <n v="78"/>
  </r>
  <r>
    <x v="0"/>
    <s v="group E"/>
    <x v="1"/>
    <n v="75"/>
    <n v="88"/>
    <n v="85"/>
    <n v="248"/>
    <n v="82.6666666666666"/>
  </r>
  <r>
    <x v="1"/>
    <s v="group B"/>
    <x v="2"/>
    <n v="49"/>
    <n v="53"/>
    <n v="52"/>
    <n v="154"/>
    <n v="51.3333333333333"/>
  </r>
  <r>
    <x v="1"/>
    <s v="group C"/>
    <x v="4"/>
    <n v="52"/>
    <n v="53"/>
    <n v="49"/>
    <n v="154"/>
    <n v="51.3333333333333"/>
  </r>
  <r>
    <x v="0"/>
    <s v="group E"/>
    <x v="2"/>
    <n v="81"/>
    <n v="92"/>
    <n v="91"/>
    <n v="264"/>
    <n v="88"/>
  </r>
  <r>
    <x v="0"/>
    <s v="group C"/>
    <x v="0"/>
    <n v="96"/>
    <n v="100"/>
    <n v="100"/>
    <n v="296"/>
    <n v="98.6666666666666"/>
  </r>
  <r>
    <x v="1"/>
    <s v="group C"/>
    <x v="4"/>
    <n v="53"/>
    <n v="51"/>
    <n v="51"/>
    <n v="155"/>
    <n v="51.6666666666666"/>
  </r>
  <r>
    <x v="0"/>
    <s v="group B"/>
    <x v="2"/>
    <n v="58"/>
    <n v="76"/>
    <n v="78"/>
    <n v="212"/>
    <n v="70.6666666666666"/>
  </r>
  <r>
    <x v="0"/>
    <s v="group B"/>
    <x v="4"/>
    <n v="68"/>
    <n v="83"/>
    <n v="78"/>
    <n v="229"/>
    <n v="76.3333333333333"/>
  </r>
  <r>
    <x v="0"/>
    <s v="group C"/>
    <x v="1"/>
    <n v="67"/>
    <n v="75"/>
    <n v="70"/>
    <n v="212"/>
    <n v="70.6666666666666"/>
  </r>
  <r>
    <x v="1"/>
    <s v="group A"/>
    <x v="4"/>
    <n v="72"/>
    <n v="73"/>
    <n v="74"/>
    <n v="219"/>
    <n v="73"/>
  </r>
  <r>
    <x v="1"/>
    <s v="group E"/>
    <x v="5"/>
    <n v="94"/>
    <n v="88"/>
    <n v="78"/>
    <n v="260"/>
    <n v="86.6666666666666"/>
  </r>
  <r>
    <x v="0"/>
    <s v="group D"/>
    <x v="1"/>
    <n v="79"/>
    <n v="86"/>
    <n v="81"/>
    <n v="246"/>
    <n v="82"/>
  </r>
  <r>
    <x v="0"/>
    <s v="group C"/>
    <x v="3"/>
    <n v="63"/>
    <n v="67"/>
    <n v="70"/>
    <n v="200"/>
    <n v="66.6666666666666"/>
  </r>
  <r>
    <x v="0"/>
    <s v="group C"/>
    <x v="0"/>
    <n v="43"/>
    <n v="51"/>
    <n v="54"/>
    <n v="148"/>
    <n v="49.3333333333333"/>
  </r>
  <r>
    <x v="0"/>
    <s v="group C"/>
    <x v="2"/>
    <n v="81"/>
    <n v="91"/>
    <n v="87"/>
    <n v="259"/>
    <n v="86.3333333333333"/>
  </r>
  <r>
    <x v="0"/>
    <s v="group B"/>
    <x v="4"/>
    <n v="46"/>
    <n v="54"/>
    <n v="58"/>
    <n v="158"/>
    <n v="52.6666666666666"/>
  </r>
  <r>
    <x v="0"/>
    <s v="group C"/>
    <x v="3"/>
    <n v="71"/>
    <n v="77"/>
    <n v="77"/>
    <n v="225"/>
    <n v="75"/>
  </r>
  <r>
    <x v="0"/>
    <s v="group B"/>
    <x v="2"/>
    <n v="52"/>
    <n v="70"/>
    <n v="62"/>
    <n v="184"/>
    <n v="61.3333333333333"/>
  </r>
  <r>
    <x v="0"/>
    <s v="group D"/>
    <x v="5"/>
    <n v="97"/>
    <n v="100"/>
    <n v="100"/>
    <n v="297"/>
    <n v="99"/>
  </r>
  <r>
    <x v="1"/>
    <s v="group C"/>
    <x v="2"/>
    <n v="62"/>
    <n v="68"/>
    <n v="75"/>
    <n v="205"/>
    <n v="68.3333333333333"/>
  </r>
  <r>
    <x v="0"/>
    <s v="group C"/>
    <x v="1"/>
    <n v="46"/>
    <n v="64"/>
    <n v="66"/>
    <n v="176"/>
    <n v="58.6666666666666"/>
  </r>
  <r>
    <x v="0"/>
    <s v="group E"/>
    <x v="4"/>
    <n v="50"/>
    <n v="50"/>
    <n v="47"/>
    <n v="147"/>
    <n v="49"/>
  </r>
  <r>
    <x v="0"/>
    <s v="group D"/>
    <x v="3"/>
    <n v="65"/>
    <n v="69"/>
    <n v="70"/>
    <n v="204"/>
    <n v="68"/>
  </r>
  <r>
    <x v="1"/>
    <s v="group C"/>
    <x v="5"/>
    <n v="45"/>
    <n v="52"/>
    <n v="49"/>
    <n v="146"/>
    <n v="48.6666666666666"/>
  </r>
  <r>
    <x v="1"/>
    <s v="group C"/>
    <x v="3"/>
    <n v="65"/>
    <n v="67"/>
    <n v="65"/>
    <n v="197"/>
    <n v="65.6666666666666"/>
  </r>
  <r>
    <x v="1"/>
    <s v="group E"/>
    <x v="4"/>
    <n v="80"/>
    <n v="76"/>
    <n v="65"/>
    <n v="221"/>
    <n v="73.6666666666666"/>
  </r>
  <r>
    <x v="1"/>
    <s v="group D"/>
    <x v="5"/>
    <n v="62"/>
    <n v="66"/>
    <n v="68"/>
    <n v="196"/>
    <n v="65.3333333333333"/>
  </r>
  <r>
    <x v="1"/>
    <s v="group B"/>
    <x v="5"/>
    <n v="48"/>
    <n v="52"/>
    <n v="45"/>
    <n v="145"/>
    <n v="48.3333333333333"/>
  </r>
  <r>
    <x v="0"/>
    <s v="group C"/>
    <x v="0"/>
    <n v="77"/>
    <n v="88"/>
    <n v="87"/>
    <n v="252"/>
    <n v="84"/>
  </r>
  <r>
    <x v="0"/>
    <s v="group E"/>
    <x v="3"/>
    <n v="66"/>
    <n v="65"/>
    <n v="69"/>
    <n v="200"/>
    <n v="66.6666666666666"/>
  </r>
  <r>
    <x v="1"/>
    <s v="group D"/>
    <x v="1"/>
    <n v="76"/>
    <n v="83"/>
    <n v="79"/>
    <n v="238"/>
    <n v="79.3333333333333"/>
  </r>
  <r>
    <x v="0"/>
    <s v="group B"/>
    <x v="5"/>
    <n v="62"/>
    <n v="64"/>
    <n v="66"/>
    <n v="192"/>
    <n v="64"/>
  </r>
  <r>
    <x v="1"/>
    <s v="group D"/>
    <x v="1"/>
    <n v="77"/>
    <n v="62"/>
    <n v="62"/>
    <n v="201"/>
    <n v="67"/>
  </r>
  <r>
    <x v="0"/>
    <s v="group C"/>
    <x v="2"/>
    <n v="69"/>
    <n v="84"/>
    <n v="85"/>
    <n v="238"/>
    <n v="79.3333333333333"/>
  </r>
  <r>
    <x v="1"/>
    <s v="group D"/>
    <x v="3"/>
    <n v="61"/>
    <n v="55"/>
    <n v="52"/>
    <n v="168"/>
    <n v="56"/>
  </r>
  <r>
    <x v="1"/>
    <s v="group C"/>
    <x v="5"/>
    <n v="59"/>
    <n v="69"/>
    <n v="65"/>
    <n v="193"/>
    <n v="64.3333333333333"/>
  </r>
  <r>
    <x v="1"/>
    <s v="group E"/>
    <x v="4"/>
    <n v="55"/>
    <n v="56"/>
    <n v="51"/>
    <n v="162"/>
    <n v="54"/>
  </r>
  <r>
    <x v="0"/>
    <s v="group B"/>
    <x v="1"/>
    <n v="45"/>
    <n v="53"/>
    <n v="55"/>
    <n v="153"/>
    <n v="5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1424FC-2536-6843-B792-BD2FE6106FC4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11" firstHeaderRow="1" firstDataRow="1" firstDataCol="1"/>
  <pivotFields count="8">
    <pivotField showAll="0"/>
    <pivotField showAll="0"/>
    <pivotField axis="axisRow" showAll="0" sortType="ascending">
      <items count="8">
        <item x="3"/>
        <item x="0"/>
        <item x="4"/>
        <item x="2"/>
        <item x="1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2"/>
  </rowFields>
  <rowItems count="8">
    <i>
      <x v="6"/>
    </i>
    <i>
      <x v="5"/>
    </i>
    <i>
      <x v="2"/>
    </i>
    <i>
      <x/>
    </i>
    <i>
      <x v="4"/>
    </i>
    <i>
      <x v="3"/>
    </i>
    <i>
      <x v="1"/>
    </i>
    <i t="grand">
      <x/>
    </i>
  </rowItems>
  <colItems count="1">
    <i/>
  </colItems>
  <dataFields count="1">
    <dataField name="Average of average_score" fld="7" subtotal="average" baseField="0" baseItem="0"/>
  </dataFields>
  <formats count="1">
    <format dxfId="0">
      <pivotArea collapsedLevelsAreSubtotals="1" fieldPosition="0">
        <references count="1">
          <reference field="2" count="0"/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EBD38E-D67B-F14F-81B9-2E9391CA5F07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6" firstHeaderRow="0" firstDataRow="1" firstDataCol="1"/>
  <pivotFields count="8">
    <pivotField axis="axisRow" showAll="0">
      <items count="3">
        <item n="Female" x="0"/>
        <item n="Male" x="1"/>
        <item t="default"/>
      </items>
    </pivotField>
    <pivotField showAll="0"/>
    <pivotField showAll="0"/>
    <pivotField dataField="1" showAll="0"/>
    <pivotField dataField="1" showAll="0"/>
    <pivotField dataField="1"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Reading" fld="4" subtotal="average" baseField="0" baseItem="0"/>
    <dataField name="Writing" fld="5" subtotal="average" baseField="0" baseItem="0"/>
    <dataField name="Math" fld="3" subtotal="average" baseField="0" baseItem="0"/>
  </dataFields>
  <formats count="1">
    <format dxfId="1">
      <pivotArea collapsedLevelsAreSubtotals="1" fieldPosition="0">
        <references count="1">
          <reference field="0" count="0"/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63824-2323-0B49-ABC0-B6739DD7FF57}">
  <dimension ref="A3:B11"/>
  <sheetViews>
    <sheetView workbookViewId="0">
      <selection activeCell="B18" sqref="B18"/>
    </sheetView>
  </sheetViews>
  <sheetFormatPr baseColWidth="10" defaultRowHeight="15" x14ac:dyDescent="0.2"/>
  <cols>
    <col min="1" max="1" width="14.33203125" bestFit="1" customWidth="1"/>
    <col min="2" max="2" width="20.6640625" bestFit="1" customWidth="1"/>
  </cols>
  <sheetData>
    <row r="3" spans="1:2" x14ac:dyDescent="0.2">
      <c r="A3" s="2" t="s">
        <v>20</v>
      </c>
      <c r="B3" t="s">
        <v>22</v>
      </c>
    </row>
    <row r="4" spans="1:2" x14ac:dyDescent="0.2">
      <c r="A4" s="3" t="s">
        <v>19</v>
      </c>
      <c r="B4" s="1">
        <v>50.99999999999995</v>
      </c>
    </row>
    <row r="5" spans="1:2" x14ac:dyDescent="0.2">
      <c r="A5" s="3" t="s">
        <v>17</v>
      </c>
      <c r="B5" s="1">
        <v>60.462365591397806</v>
      </c>
    </row>
    <row r="6" spans="1:2" x14ac:dyDescent="0.2">
      <c r="A6" s="3" t="s">
        <v>16</v>
      </c>
      <c r="B6" s="1">
        <v>62.288888888888827</v>
      </c>
    </row>
    <row r="7" spans="1:2" x14ac:dyDescent="0.2">
      <c r="A7" s="3" t="s">
        <v>14</v>
      </c>
      <c r="B7" s="1">
        <v>65.782312925170018</v>
      </c>
    </row>
    <row r="8" spans="1:2" x14ac:dyDescent="0.2">
      <c r="A8" s="3" t="s">
        <v>11</v>
      </c>
      <c r="B8" s="1">
        <v>67.700680272108812</v>
      </c>
    </row>
    <row r="9" spans="1:2" x14ac:dyDescent="0.2">
      <c r="A9" s="3" t="s">
        <v>12</v>
      </c>
      <c r="B9" s="1">
        <v>72.274705882352904</v>
      </c>
    </row>
    <row r="10" spans="1:2" x14ac:dyDescent="0.2">
      <c r="A10" s="3" t="s">
        <v>9</v>
      </c>
      <c r="B10" s="1">
        <v>73.031746031745968</v>
      </c>
    </row>
    <row r="11" spans="1:2" x14ac:dyDescent="0.2">
      <c r="A11" s="3" t="s">
        <v>21</v>
      </c>
      <c r="B11" s="4">
        <v>66.070368509212742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4A2EF-C532-8D4C-8E5C-CE84DB634A7A}">
  <dimension ref="A3:D6"/>
  <sheetViews>
    <sheetView workbookViewId="0">
      <selection activeCell="L21" sqref="L21"/>
    </sheetView>
  </sheetViews>
  <sheetFormatPr baseColWidth="10" defaultRowHeight="15" x14ac:dyDescent="0.2"/>
  <cols>
    <col min="1" max="1" width="12.1640625" bestFit="1" customWidth="1"/>
    <col min="2" max="2" width="11.1640625" bestFit="1" customWidth="1"/>
    <col min="3" max="3" width="20" bestFit="1" customWidth="1"/>
    <col min="4" max="4" width="18.6640625" bestFit="1" customWidth="1"/>
  </cols>
  <sheetData>
    <row r="3" spans="1:4" x14ac:dyDescent="0.2">
      <c r="A3" s="2" t="s">
        <v>20</v>
      </c>
      <c r="B3" t="s">
        <v>26</v>
      </c>
      <c r="C3" t="s">
        <v>27</v>
      </c>
      <c r="D3" t="s">
        <v>28</v>
      </c>
    </row>
    <row r="4" spans="1:4" x14ac:dyDescent="0.2">
      <c r="A4" s="3" t="s">
        <v>24</v>
      </c>
      <c r="B4" s="1">
        <v>72.454545454545453</v>
      </c>
      <c r="C4" s="1">
        <v>71.898989898989896</v>
      </c>
      <c r="D4" s="1">
        <v>63.565656565656568</v>
      </c>
    </row>
    <row r="5" spans="1:4" x14ac:dyDescent="0.2">
      <c r="A5" s="3" t="s">
        <v>25</v>
      </c>
      <c r="B5" s="1">
        <v>62.85</v>
      </c>
      <c r="C5" s="1">
        <v>60.89</v>
      </c>
      <c r="D5" s="1">
        <v>64.86</v>
      </c>
    </row>
    <row r="6" spans="1:4" x14ac:dyDescent="0.2">
      <c r="A6" s="3" t="s">
        <v>21</v>
      </c>
      <c r="B6" s="4">
        <v>67.628140703517587</v>
      </c>
      <c r="C6" s="4">
        <v>66.366834170854275</v>
      </c>
      <c r="D6" s="4">
        <v>64.21608040201005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672A0-C919-094B-82B3-9641FD67457E}">
  <dimension ref="A1:E14"/>
  <sheetViews>
    <sheetView workbookViewId="0">
      <selection activeCell="D20" sqref="D20"/>
    </sheetView>
  </sheetViews>
  <sheetFormatPr baseColWidth="10" defaultRowHeight="15" x14ac:dyDescent="0.2"/>
  <cols>
    <col min="1" max="1" width="18.6640625" customWidth="1"/>
    <col min="2" max="5" width="18.6640625" style="1" customWidth="1"/>
  </cols>
  <sheetData>
    <row r="1" spans="1:5" ht="16" x14ac:dyDescent="0.2">
      <c r="A1" s="15" t="s">
        <v>42</v>
      </c>
      <c r="B1" s="15" t="s">
        <v>43</v>
      </c>
      <c r="C1" s="15" t="s">
        <v>44</v>
      </c>
      <c r="D1" s="15" t="s">
        <v>45</v>
      </c>
      <c r="E1" s="15" t="s">
        <v>46</v>
      </c>
    </row>
    <row r="2" spans="1:5" ht="16" x14ac:dyDescent="0.2">
      <c r="A2" s="9" t="s">
        <v>29</v>
      </c>
      <c r="B2" s="10">
        <v>64.21608040201005</v>
      </c>
      <c r="C2" s="10">
        <v>67.628140703517587</v>
      </c>
      <c r="D2" s="10">
        <v>66.366834170854275</v>
      </c>
      <c r="E2" s="11">
        <v>66.070368509212713</v>
      </c>
    </row>
    <row r="3" spans="1:5" ht="16" x14ac:dyDescent="0.2">
      <c r="A3" s="7" t="s">
        <v>30</v>
      </c>
      <c r="B3" s="6">
        <v>1.1273612181302823</v>
      </c>
      <c r="C3" s="6">
        <v>1.1188960585004932</v>
      </c>
      <c r="D3" s="6">
        <v>1.1525910357841374</v>
      </c>
      <c r="E3" s="8">
        <v>1.0915591705527137</v>
      </c>
    </row>
    <row r="4" spans="1:5" ht="16" x14ac:dyDescent="0.2">
      <c r="A4" s="7" t="s">
        <v>31</v>
      </c>
      <c r="B4" s="6">
        <v>65</v>
      </c>
      <c r="C4" s="6">
        <v>68</v>
      </c>
      <c r="D4" s="6">
        <v>68</v>
      </c>
      <c r="E4" s="8">
        <v>66.3333333333333</v>
      </c>
    </row>
    <row r="5" spans="1:5" ht="16" x14ac:dyDescent="0.2">
      <c r="A5" s="7" t="s">
        <v>32</v>
      </c>
      <c r="B5" s="6">
        <v>58</v>
      </c>
      <c r="C5" s="6">
        <v>67</v>
      </c>
      <c r="D5" s="6">
        <v>74</v>
      </c>
      <c r="E5" s="8">
        <v>50.3333333333333</v>
      </c>
    </row>
    <row r="6" spans="1:5" ht="16" x14ac:dyDescent="0.2">
      <c r="A6" s="7" t="s">
        <v>33</v>
      </c>
      <c r="B6" s="6">
        <v>15.903387057878415</v>
      </c>
      <c r="C6" s="6">
        <v>15.783971285955252</v>
      </c>
      <c r="D6" s="6">
        <v>16.25929743433646</v>
      </c>
      <c r="E6" s="8">
        <v>15.398337025170218</v>
      </c>
    </row>
    <row r="7" spans="1:5" ht="16" x14ac:dyDescent="0.2">
      <c r="A7" s="7" t="s">
        <v>34</v>
      </c>
      <c r="B7" s="6">
        <v>252.91771991269468</v>
      </c>
      <c r="C7" s="6">
        <v>249.13374955585988</v>
      </c>
      <c r="D7" s="6">
        <v>264.36475305822017</v>
      </c>
      <c r="E7" s="8">
        <v>237.10878314072798</v>
      </c>
    </row>
    <row r="8" spans="1:5" ht="16" x14ac:dyDescent="0.2">
      <c r="A8" s="7" t="s">
        <v>35</v>
      </c>
      <c r="B8" s="6">
        <v>0.94646059875929289</v>
      </c>
      <c r="C8" s="6">
        <v>-0.14052162259206158</v>
      </c>
      <c r="D8" s="6">
        <v>7.2613786794324398E-2</v>
      </c>
      <c r="E8" s="8">
        <v>0.3414097312404869</v>
      </c>
    </row>
    <row r="9" spans="1:5" ht="16" x14ac:dyDescent="0.2">
      <c r="A9" s="7" t="s">
        <v>36</v>
      </c>
      <c r="B9" s="6">
        <v>-0.3668303333259772</v>
      </c>
      <c r="C9" s="6">
        <v>-0.23143742471432621</v>
      </c>
      <c r="D9" s="6">
        <v>-0.3333778903008589</v>
      </c>
      <c r="E9" s="8">
        <v>-0.34874219256390099</v>
      </c>
    </row>
    <row r="10" spans="1:5" ht="16" x14ac:dyDescent="0.2">
      <c r="A10" s="7" t="s">
        <v>37</v>
      </c>
      <c r="B10" s="6">
        <v>100</v>
      </c>
      <c r="C10" s="6">
        <v>83</v>
      </c>
      <c r="D10" s="6">
        <v>90</v>
      </c>
      <c r="E10" s="8">
        <v>90.6666666666666</v>
      </c>
    </row>
    <row r="11" spans="1:5" ht="16" x14ac:dyDescent="0.2">
      <c r="A11" s="7" t="s">
        <v>38</v>
      </c>
      <c r="B11" s="6">
        <v>0</v>
      </c>
      <c r="C11" s="6">
        <v>17</v>
      </c>
      <c r="D11" s="6">
        <v>10</v>
      </c>
      <c r="E11" s="8">
        <v>9</v>
      </c>
    </row>
    <row r="12" spans="1:5" ht="16" x14ac:dyDescent="0.2">
      <c r="A12" s="7" t="s">
        <v>39</v>
      </c>
      <c r="B12" s="6">
        <v>100</v>
      </c>
      <c r="C12" s="6">
        <v>100</v>
      </c>
      <c r="D12" s="6">
        <v>100</v>
      </c>
      <c r="E12" s="8">
        <v>99.6666666666666</v>
      </c>
    </row>
    <row r="13" spans="1:5" ht="16" x14ac:dyDescent="0.2">
      <c r="A13" s="7" t="s">
        <v>40</v>
      </c>
      <c r="B13" s="6">
        <v>12779</v>
      </c>
      <c r="C13" s="6">
        <v>13458</v>
      </c>
      <c r="D13" s="6">
        <v>13207</v>
      </c>
      <c r="E13" s="8">
        <v>13148.00333333333</v>
      </c>
    </row>
    <row r="14" spans="1:5" ht="16" x14ac:dyDescent="0.2">
      <c r="A14" s="12" t="s">
        <v>41</v>
      </c>
      <c r="B14" s="13">
        <v>199</v>
      </c>
      <c r="C14" s="13">
        <v>199</v>
      </c>
      <c r="D14" s="13">
        <v>199</v>
      </c>
      <c r="E14" s="14">
        <v>199</v>
      </c>
    </row>
  </sheetData>
  <printOptions horizontalCentered="1" verticalCentered="1"/>
  <pageMargins left="1" right="1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32E15-4111-4554-8390-B2487209CF83}">
  <dimension ref="A1:H201"/>
  <sheetViews>
    <sheetView tabSelected="1" workbookViewId="0">
      <selection activeCell="G210" sqref="G210"/>
    </sheetView>
  </sheetViews>
  <sheetFormatPr baseColWidth="10" defaultColWidth="8.83203125" defaultRowHeight="15" x14ac:dyDescent="0.2"/>
  <cols>
    <col min="2" max="2" width="14.1640625" customWidth="1"/>
    <col min="3" max="3" width="26.1640625" bestFit="1" customWidth="1"/>
    <col min="4" max="4" width="13.6640625" customWidth="1"/>
    <col min="5" max="5" width="14.83203125" customWidth="1"/>
    <col min="6" max="6" width="16.5" customWidth="1"/>
    <col min="7" max="7" width="14.83203125" customWidth="1"/>
    <col min="8" max="8" width="13.33203125" customWidth="1"/>
  </cols>
  <sheetData>
    <row r="1" spans="1:8" ht="16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ht="16" x14ac:dyDescent="0.2">
      <c r="A2" s="5">
        <v>0</v>
      </c>
      <c r="B2" s="5" t="s">
        <v>8</v>
      </c>
      <c r="C2" s="5" t="s">
        <v>9</v>
      </c>
      <c r="D2" s="5">
        <v>72</v>
      </c>
      <c r="E2" s="5">
        <v>72</v>
      </c>
      <c r="F2" s="5">
        <v>74</v>
      </c>
      <c r="G2" s="5">
        <v>218</v>
      </c>
      <c r="H2" s="16">
        <v>72.6666666666666</v>
      </c>
    </row>
    <row r="3" spans="1:8" ht="16" x14ac:dyDescent="0.2">
      <c r="A3" s="5">
        <v>0</v>
      </c>
      <c r="B3" s="5" t="s">
        <v>10</v>
      </c>
      <c r="C3" s="5" t="s">
        <v>11</v>
      </c>
      <c r="D3" s="5">
        <v>69</v>
      </c>
      <c r="E3" s="5">
        <v>90</v>
      </c>
      <c r="F3" s="5">
        <v>88</v>
      </c>
      <c r="G3" s="5">
        <v>247</v>
      </c>
      <c r="H3" s="16">
        <v>82.3333333333333</v>
      </c>
    </row>
    <row r="4" spans="1:8" ht="16" x14ac:dyDescent="0.2">
      <c r="A4" s="5">
        <v>0</v>
      </c>
      <c r="B4" s="5" t="s">
        <v>8</v>
      </c>
      <c r="C4" s="5" t="s">
        <v>12</v>
      </c>
      <c r="D4" s="5">
        <v>90</v>
      </c>
      <c r="E4" s="5">
        <v>95</v>
      </c>
      <c r="F4" s="5">
        <v>93</v>
      </c>
      <c r="G4" s="5">
        <v>278</v>
      </c>
      <c r="H4" s="16">
        <v>92.6666666666666</v>
      </c>
    </row>
    <row r="5" spans="1:8" ht="16" x14ac:dyDescent="0.2">
      <c r="A5" s="5">
        <v>1</v>
      </c>
      <c r="B5" s="5" t="s">
        <v>13</v>
      </c>
      <c r="C5" s="5" t="s">
        <v>14</v>
      </c>
      <c r="D5" s="5">
        <v>47</v>
      </c>
      <c r="E5" s="5">
        <v>57</v>
      </c>
      <c r="F5" s="5">
        <v>44</v>
      </c>
      <c r="G5" s="5">
        <v>148</v>
      </c>
      <c r="H5" s="16">
        <v>49.3333333333333</v>
      </c>
    </row>
    <row r="6" spans="1:8" ht="16" x14ac:dyDescent="0.2">
      <c r="A6" s="5">
        <v>1</v>
      </c>
      <c r="B6" s="5" t="s">
        <v>10</v>
      </c>
      <c r="C6" s="5" t="s">
        <v>11</v>
      </c>
      <c r="D6" s="5">
        <v>76</v>
      </c>
      <c r="E6" s="5">
        <v>78</v>
      </c>
      <c r="F6" s="5">
        <v>75</v>
      </c>
      <c r="G6" s="5">
        <v>229</v>
      </c>
      <c r="H6" s="16">
        <v>76.3333333333333</v>
      </c>
    </row>
    <row r="7" spans="1:8" ht="16" x14ac:dyDescent="0.2">
      <c r="A7" s="5">
        <v>0</v>
      </c>
      <c r="B7" s="5" t="s">
        <v>8</v>
      </c>
      <c r="C7" s="5" t="s">
        <v>14</v>
      </c>
      <c r="D7" s="5">
        <v>71</v>
      </c>
      <c r="E7" s="5">
        <v>83</v>
      </c>
      <c r="F7" s="5">
        <v>78</v>
      </c>
      <c r="G7" s="5">
        <v>232</v>
      </c>
      <c r="H7" s="16">
        <v>77.3333333333333</v>
      </c>
    </row>
    <row r="8" spans="1:8" ht="16" x14ac:dyDescent="0.2">
      <c r="A8" s="5">
        <v>0</v>
      </c>
      <c r="B8" s="5" t="s">
        <v>8</v>
      </c>
      <c r="C8" s="5" t="s">
        <v>11</v>
      </c>
      <c r="D8" s="5">
        <v>88</v>
      </c>
      <c r="E8" s="5">
        <v>95</v>
      </c>
      <c r="F8" s="5">
        <v>92</v>
      </c>
      <c r="G8" s="5">
        <v>275</v>
      </c>
      <c r="H8" s="16">
        <v>91.6666666666666</v>
      </c>
    </row>
    <row r="9" spans="1:8" ht="16" x14ac:dyDescent="0.2">
      <c r="A9" s="5">
        <v>1</v>
      </c>
      <c r="B9" s="5" t="s">
        <v>8</v>
      </c>
      <c r="C9" s="5" t="s">
        <v>11</v>
      </c>
      <c r="D9" s="5">
        <v>40</v>
      </c>
      <c r="E9" s="5">
        <v>43</v>
      </c>
      <c r="F9" s="5">
        <v>39</v>
      </c>
      <c r="G9" s="5">
        <v>122</v>
      </c>
      <c r="H9" s="16">
        <v>40.6666666666666</v>
      </c>
    </row>
    <row r="10" spans="1:8" ht="16" x14ac:dyDescent="0.2">
      <c r="A10" s="5">
        <v>1</v>
      </c>
      <c r="B10" s="5" t="s">
        <v>15</v>
      </c>
      <c r="C10" s="5" t="s">
        <v>16</v>
      </c>
      <c r="D10" s="5">
        <v>64</v>
      </c>
      <c r="E10" s="5">
        <v>64</v>
      </c>
      <c r="F10" s="5">
        <v>67</v>
      </c>
      <c r="G10" s="5">
        <v>195</v>
      </c>
      <c r="H10" s="16">
        <v>65</v>
      </c>
    </row>
    <row r="11" spans="1:8" ht="16" x14ac:dyDescent="0.2">
      <c r="A11" s="5">
        <v>0</v>
      </c>
      <c r="B11" s="5" t="s">
        <v>8</v>
      </c>
      <c r="C11" s="5" t="s">
        <v>16</v>
      </c>
      <c r="D11" s="5">
        <v>38</v>
      </c>
      <c r="E11" s="5">
        <v>60</v>
      </c>
      <c r="F11" s="5">
        <v>50</v>
      </c>
      <c r="G11" s="5">
        <v>148</v>
      </c>
      <c r="H11" s="16">
        <v>49.3333333333333</v>
      </c>
    </row>
    <row r="12" spans="1:8" ht="16" x14ac:dyDescent="0.2">
      <c r="A12" s="5">
        <v>1</v>
      </c>
      <c r="B12" s="5" t="s">
        <v>10</v>
      </c>
      <c r="C12" s="5" t="s">
        <v>14</v>
      </c>
      <c r="D12" s="5">
        <v>58</v>
      </c>
      <c r="E12" s="5">
        <v>54</v>
      </c>
      <c r="F12" s="5">
        <v>52</v>
      </c>
      <c r="G12" s="5">
        <v>164</v>
      </c>
      <c r="H12" s="16">
        <v>54.6666666666666</v>
      </c>
    </row>
    <row r="13" spans="1:8" ht="16" x14ac:dyDescent="0.2">
      <c r="A13" s="5">
        <v>1</v>
      </c>
      <c r="B13" s="5" t="s">
        <v>15</v>
      </c>
      <c r="C13" s="5" t="s">
        <v>14</v>
      </c>
      <c r="D13" s="5">
        <v>40</v>
      </c>
      <c r="E13" s="5">
        <v>52</v>
      </c>
      <c r="F13" s="5">
        <v>43</v>
      </c>
      <c r="G13" s="5">
        <v>135</v>
      </c>
      <c r="H13" s="16">
        <v>45</v>
      </c>
    </row>
    <row r="14" spans="1:8" ht="16" x14ac:dyDescent="0.2">
      <c r="A14" s="5">
        <v>0</v>
      </c>
      <c r="B14" s="5" t="s">
        <v>8</v>
      </c>
      <c r="C14" s="5" t="s">
        <v>16</v>
      </c>
      <c r="D14" s="5">
        <v>65</v>
      </c>
      <c r="E14" s="5">
        <v>81</v>
      </c>
      <c r="F14" s="5">
        <v>73</v>
      </c>
      <c r="G14" s="5">
        <v>219</v>
      </c>
      <c r="H14" s="16">
        <v>73</v>
      </c>
    </row>
    <row r="15" spans="1:8" ht="16" x14ac:dyDescent="0.2">
      <c r="A15" s="5">
        <v>1</v>
      </c>
      <c r="B15" s="5" t="s">
        <v>13</v>
      </c>
      <c r="C15" s="5" t="s">
        <v>11</v>
      </c>
      <c r="D15" s="5">
        <v>78</v>
      </c>
      <c r="E15" s="5">
        <v>72</v>
      </c>
      <c r="F15" s="5">
        <v>70</v>
      </c>
      <c r="G15" s="5">
        <v>220</v>
      </c>
      <c r="H15" s="16">
        <v>73.3333333333333</v>
      </c>
    </row>
    <row r="16" spans="1:8" ht="16" x14ac:dyDescent="0.2">
      <c r="A16" s="5">
        <v>0</v>
      </c>
      <c r="B16" s="5" t="s">
        <v>13</v>
      </c>
      <c r="C16" s="5" t="s">
        <v>12</v>
      </c>
      <c r="D16" s="5">
        <v>50</v>
      </c>
      <c r="E16" s="5">
        <v>53</v>
      </c>
      <c r="F16" s="5">
        <v>58</v>
      </c>
      <c r="G16" s="5">
        <v>161</v>
      </c>
      <c r="H16" s="16">
        <v>53.6666666666666</v>
      </c>
    </row>
    <row r="17" spans="1:8" ht="16" x14ac:dyDescent="0.2">
      <c r="A17" s="5">
        <v>0</v>
      </c>
      <c r="B17" s="5" t="s">
        <v>10</v>
      </c>
      <c r="C17" s="5" t="s">
        <v>17</v>
      </c>
      <c r="D17" s="5">
        <v>69</v>
      </c>
      <c r="E17" s="5">
        <v>75</v>
      </c>
      <c r="F17" s="5">
        <v>78</v>
      </c>
      <c r="G17" s="5">
        <v>222</v>
      </c>
      <c r="H17" s="16">
        <v>74</v>
      </c>
    </row>
    <row r="18" spans="1:8" ht="16" x14ac:dyDescent="0.2">
      <c r="A18" s="5">
        <v>1</v>
      </c>
      <c r="B18" s="5" t="s">
        <v>10</v>
      </c>
      <c r="C18" s="5" t="s">
        <v>16</v>
      </c>
      <c r="D18" s="5">
        <v>88</v>
      </c>
      <c r="E18" s="5">
        <v>89</v>
      </c>
      <c r="F18" s="5">
        <v>86</v>
      </c>
      <c r="G18" s="5">
        <v>263</v>
      </c>
      <c r="H18" s="16">
        <v>87.6666666666666</v>
      </c>
    </row>
    <row r="19" spans="1:8" ht="16" x14ac:dyDescent="0.2">
      <c r="A19" s="5">
        <v>0</v>
      </c>
      <c r="B19" s="5" t="s">
        <v>8</v>
      </c>
      <c r="C19" s="5" t="s">
        <v>17</v>
      </c>
      <c r="D19" s="5">
        <v>18</v>
      </c>
      <c r="E19" s="5">
        <v>32</v>
      </c>
      <c r="F19" s="5">
        <v>28</v>
      </c>
      <c r="G19" s="5">
        <v>78</v>
      </c>
      <c r="H19" s="16">
        <v>26</v>
      </c>
    </row>
    <row r="20" spans="1:8" ht="16" x14ac:dyDescent="0.2">
      <c r="A20" s="5">
        <v>1</v>
      </c>
      <c r="B20" s="5" t="s">
        <v>10</v>
      </c>
      <c r="C20" s="5" t="s">
        <v>12</v>
      </c>
      <c r="D20" s="5">
        <v>46</v>
      </c>
      <c r="E20" s="5">
        <v>42</v>
      </c>
      <c r="F20" s="5">
        <v>46</v>
      </c>
      <c r="G20" s="5">
        <v>134</v>
      </c>
      <c r="H20" s="5">
        <f>ROUND(G20/3,2)</f>
        <v>44.67</v>
      </c>
    </row>
    <row r="21" spans="1:8" ht="16" x14ac:dyDescent="0.2">
      <c r="A21" s="5">
        <v>0</v>
      </c>
      <c r="B21" s="5" t="s">
        <v>10</v>
      </c>
      <c r="C21" s="5" t="s">
        <v>14</v>
      </c>
      <c r="D21" s="5">
        <v>54</v>
      </c>
      <c r="E21" s="5">
        <v>58</v>
      </c>
      <c r="F21" s="5">
        <v>61</v>
      </c>
      <c r="G21" s="5">
        <v>173</v>
      </c>
      <c r="H21" s="16">
        <v>57.6666666666666</v>
      </c>
    </row>
    <row r="22" spans="1:8" ht="16" x14ac:dyDescent="0.2">
      <c r="A22" s="5">
        <v>1</v>
      </c>
      <c r="B22" s="5" t="s">
        <v>15</v>
      </c>
      <c r="C22" s="5" t="s">
        <v>16</v>
      </c>
      <c r="D22" s="5">
        <v>66</v>
      </c>
      <c r="E22" s="5">
        <v>69</v>
      </c>
      <c r="F22" s="5">
        <v>63</v>
      </c>
      <c r="G22" s="5">
        <v>198</v>
      </c>
      <c r="H22" s="16">
        <v>66</v>
      </c>
    </row>
    <row r="23" spans="1:8" ht="16" x14ac:dyDescent="0.2">
      <c r="A23" s="5">
        <v>0</v>
      </c>
      <c r="B23" s="5" t="s">
        <v>8</v>
      </c>
      <c r="C23" s="5" t="s">
        <v>11</v>
      </c>
      <c r="D23" s="5">
        <v>65</v>
      </c>
      <c r="E23" s="5">
        <v>75</v>
      </c>
      <c r="F23" s="5">
        <v>70</v>
      </c>
      <c r="G23" s="5">
        <v>210</v>
      </c>
      <c r="H23" s="16">
        <v>70</v>
      </c>
    </row>
    <row r="24" spans="1:8" ht="16" x14ac:dyDescent="0.2">
      <c r="A24" s="5">
        <v>1</v>
      </c>
      <c r="B24" s="5" t="s">
        <v>15</v>
      </c>
      <c r="C24" s="5" t="s">
        <v>11</v>
      </c>
      <c r="D24" s="5">
        <v>44</v>
      </c>
      <c r="E24" s="5">
        <v>54</v>
      </c>
      <c r="F24" s="5">
        <v>53</v>
      </c>
      <c r="G24" s="5">
        <v>151</v>
      </c>
      <c r="H24" s="16">
        <v>50.3333333333333</v>
      </c>
    </row>
    <row r="25" spans="1:8" ht="16" x14ac:dyDescent="0.2">
      <c r="A25" s="5">
        <v>0</v>
      </c>
      <c r="B25" s="5" t="s">
        <v>10</v>
      </c>
      <c r="C25" s="5" t="s">
        <v>17</v>
      </c>
      <c r="D25" s="5">
        <v>69</v>
      </c>
      <c r="E25" s="5">
        <v>73</v>
      </c>
      <c r="F25" s="5">
        <v>73</v>
      </c>
      <c r="G25" s="5">
        <v>215</v>
      </c>
      <c r="H25" s="16">
        <v>71.6666666666666</v>
      </c>
    </row>
    <row r="26" spans="1:8" ht="16" x14ac:dyDescent="0.2">
      <c r="A26" s="5">
        <v>1</v>
      </c>
      <c r="B26" s="5" t="s">
        <v>15</v>
      </c>
      <c r="C26" s="5" t="s">
        <v>9</v>
      </c>
      <c r="D26" s="5">
        <v>74</v>
      </c>
      <c r="E26" s="5">
        <v>71</v>
      </c>
      <c r="F26" s="5">
        <v>80</v>
      </c>
      <c r="G26" s="5">
        <v>225</v>
      </c>
      <c r="H26" s="16">
        <v>75</v>
      </c>
    </row>
    <row r="27" spans="1:8" ht="16" x14ac:dyDescent="0.2">
      <c r="A27" s="5">
        <v>1</v>
      </c>
      <c r="B27" s="5" t="s">
        <v>13</v>
      </c>
      <c r="C27" s="5" t="s">
        <v>12</v>
      </c>
      <c r="D27" s="5">
        <v>73</v>
      </c>
      <c r="E27" s="5">
        <v>74</v>
      </c>
      <c r="F27" s="5">
        <v>72</v>
      </c>
      <c r="G27" s="5">
        <v>219</v>
      </c>
      <c r="H27" s="16">
        <v>73</v>
      </c>
    </row>
    <row r="28" spans="1:8" ht="16" x14ac:dyDescent="0.2">
      <c r="A28" s="5">
        <v>1</v>
      </c>
      <c r="B28" s="5" t="s">
        <v>8</v>
      </c>
      <c r="C28" s="5" t="s">
        <v>11</v>
      </c>
      <c r="D28" s="5">
        <v>69</v>
      </c>
      <c r="E28" s="5">
        <v>54</v>
      </c>
      <c r="F28" s="5">
        <v>55</v>
      </c>
      <c r="G28" s="5">
        <v>178</v>
      </c>
      <c r="H28" s="16">
        <v>59.3333333333333</v>
      </c>
    </row>
    <row r="29" spans="1:8" ht="16" x14ac:dyDescent="0.2">
      <c r="A29" s="5">
        <v>0</v>
      </c>
      <c r="B29" s="5" t="s">
        <v>10</v>
      </c>
      <c r="C29" s="5" t="s">
        <v>9</v>
      </c>
      <c r="D29" s="5">
        <v>67</v>
      </c>
      <c r="E29" s="5">
        <v>69</v>
      </c>
      <c r="F29" s="5">
        <v>75</v>
      </c>
      <c r="G29" s="5">
        <v>211</v>
      </c>
      <c r="H29" s="16">
        <v>70.3333333333333</v>
      </c>
    </row>
    <row r="30" spans="1:8" ht="16" x14ac:dyDescent="0.2">
      <c r="A30" s="5">
        <v>1</v>
      </c>
      <c r="B30" s="5" t="s">
        <v>10</v>
      </c>
      <c r="C30" s="5" t="s">
        <v>16</v>
      </c>
      <c r="D30" s="5">
        <v>70</v>
      </c>
      <c r="E30" s="5">
        <v>70</v>
      </c>
      <c r="F30" s="5">
        <v>65</v>
      </c>
      <c r="G30" s="5">
        <v>205</v>
      </c>
      <c r="H30" s="16">
        <v>68.3333333333333</v>
      </c>
    </row>
    <row r="31" spans="1:8" ht="16" x14ac:dyDescent="0.2">
      <c r="A31" s="5">
        <v>0</v>
      </c>
      <c r="B31" s="5" t="s">
        <v>15</v>
      </c>
      <c r="C31" s="5" t="s">
        <v>12</v>
      </c>
      <c r="D31" s="5">
        <v>62</v>
      </c>
      <c r="E31" s="5">
        <v>70</v>
      </c>
      <c r="F31" s="5">
        <v>75</v>
      </c>
      <c r="G31" s="5">
        <v>207</v>
      </c>
      <c r="H31" s="16">
        <v>69</v>
      </c>
    </row>
    <row r="32" spans="1:8" ht="16" x14ac:dyDescent="0.2">
      <c r="A32" s="5">
        <v>0</v>
      </c>
      <c r="B32" s="5" t="s">
        <v>15</v>
      </c>
      <c r="C32" s="5" t="s">
        <v>11</v>
      </c>
      <c r="D32" s="5">
        <v>69</v>
      </c>
      <c r="E32" s="5">
        <v>74</v>
      </c>
      <c r="F32" s="5">
        <v>74</v>
      </c>
      <c r="G32" s="5">
        <v>217</v>
      </c>
      <c r="H32" s="16">
        <v>72.3333333333333</v>
      </c>
    </row>
    <row r="33" spans="1:8" ht="16" x14ac:dyDescent="0.2">
      <c r="A33" s="5">
        <v>0</v>
      </c>
      <c r="B33" s="5" t="s">
        <v>8</v>
      </c>
      <c r="C33" s="5" t="s">
        <v>11</v>
      </c>
      <c r="D33" s="5">
        <v>63</v>
      </c>
      <c r="E33" s="5">
        <v>65</v>
      </c>
      <c r="F33" s="5">
        <v>61</v>
      </c>
      <c r="G33" s="5">
        <v>189</v>
      </c>
      <c r="H33" s="16">
        <f>(D33+E33+F33)/3</f>
        <v>63</v>
      </c>
    </row>
    <row r="34" spans="1:8" ht="16" x14ac:dyDescent="0.2">
      <c r="A34" s="5">
        <v>0</v>
      </c>
      <c r="B34" s="5" t="s">
        <v>18</v>
      </c>
      <c r="C34" s="5" t="s">
        <v>12</v>
      </c>
      <c r="D34" s="5">
        <v>56</v>
      </c>
      <c r="E34" s="5">
        <v>72</v>
      </c>
      <c r="F34" s="5">
        <v>65</v>
      </c>
      <c r="G34" s="5">
        <v>193</v>
      </c>
      <c r="H34" s="16">
        <v>64.3333333333333</v>
      </c>
    </row>
    <row r="35" spans="1:8" ht="16" x14ac:dyDescent="0.2">
      <c r="A35" s="5">
        <v>1</v>
      </c>
      <c r="B35" s="5" t="s">
        <v>15</v>
      </c>
      <c r="C35" s="5" t="s">
        <v>11</v>
      </c>
      <c r="D35" s="5">
        <v>40</v>
      </c>
      <c r="E35" s="5">
        <v>42</v>
      </c>
      <c r="F35" s="5">
        <v>38</v>
      </c>
      <c r="G35" s="5">
        <v>120</v>
      </c>
      <c r="H35" s="16">
        <v>40</v>
      </c>
    </row>
    <row r="36" spans="1:8" ht="16" x14ac:dyDescent="0.2">
      <c r="A36" s="5">
        <v>1</v>
      </c>
      <c r="B36" s="5" t="s">
        <v>18</v>
      </c>
      <c r="C36" s="5" t="s">
        <v>11</v>
      </c>
      <c r="D36" s="5">
        <v>97</v>
      </c>
      <c r="E36" s="5">
        <v>87</v>
      </c>
      <c r="F36" s="5">
        <v>82</v>
      </c>
      <c r="G36" s="5">
        <v>266</v>
      </c>
      <c r="H36" s="16">
        <v>88.6666666666666</v>
      </c>
    </row>
    <row r="37" spans="1:8" ht="16" x14ac:dyDescent="0.2">
      <c r="A37" s="5">
        <v>1</v>
      </c>
      <c r="B37" s="5" t="s">
        <v>18</v>
      </c>
      <c r="C37" s="5" t="s">
        <v>14</v>
      </c>
      <c r="D37" s="5">
        <v>81</v>
      </c>
      <c r="E37" s="5">
        <v>81</v>
      </c>
      <c r="F37" s="5">
        <v>79</v>
      </c>
      <c r="G37" s="5">
        <v>241</v>
      </c>
      <c r="H37" s="16">
        <v>80.3333333333333</v>
      </c>
    </row>
    <row r="38" spans="1:8" ht="16" x14ac:dyDescent="0.2">
      <c r="A38" s="5">
        <v>0</v>
      </c>
      <c r="B38" s="5" t="s">
        <v>15</v>
      </c>
      <c r="C38" s="5" t="s">
        <v>14</v>
      </c>
      <c r="D38" s="5">
        <v>74</v>
      </c>
      <c r="E38" s="5">
        <v>81</v>
      </c>
      <c r="F38" s="5">
        <v>83</v>
      </c>
      <c r="G38" s="5">
        <v>238</v>
      </c>
      <c r="H38" s="16">
        <v>79.3333333333333</v>
      </c>
    </row>
    <row r="39" spans="1:8" ht="16" x14ac:dyDescent="0.2">
      <c r="A39" s="5">
        <v>0</v>
      </c>
      <c r="B39" s="5" t="s">
        <v>15</v>
      </c>
      <c r="C39" s="5" t="s">
        <v>17</v>
      </c>
      <c r="D39" s="5">
        <v>50</v>
      </c>
      <c r="E39" s="5">
        <v>64</v>
      </c>
      <c r="F39" s="5">
        <v>59</v>
      </c>
      <c r="G39" s="5">
        <v>173</v>
      </c>
      <c r="H39" s="16">
        <v>57.6666666666666</v>
      </c>
    </row>
    <row r="40" spans="1:8" ht="16" x14ac:dyDescent="0.2">
      <c r="A40" s="5">
        <v>0</v>
      </c>
      <c r="B40" s="5" t="s">
        <v>15</v>
      </c>
      <c r="C40" s="5" t="s">
        <v>14</v>
      </c>
      <c r="D40" s="5">
        <v>75</v>
      </c>
      <c r="E40" s="5">
        <v>90</v>
      </c>
      <c r="F40" s="5">
        <v>88</v>
      </c>
      <c r="G40" s="5">
        <v>253</v>
      </c>
      <c r="H40" s="16">
        <v>84.3333333333333</v>
      </c>
    </row>
    <row r="41" spans="1:8" ht="16" x14ac:dyDescent="0.2">
      <c r="A41" s="5">
        <v>1</v>
      </c>
      <c r="B41" s="5" t="s">
        <v>8</v>
      </c>
      <c r="C41" s="5" t="s">
        <v>14</v>
      </c>
      <c r="D41" s="5">
        <v>57</v>
      </c>
      <c r="E41" s="5">
        <v>56</v>
      </c>
      <c r="F41" s="5">
        <v>57</v>
      </c>
      <c r="G41" s="5">
        <v>170</v>
      </c>
      <c r="H41" s="16">
        <v>56.6666666666666</v>
      </c>
    </row>
    <row r="42" spans="1:8" ht="16" x14ac:dyDescent="0.2">
      <c r="A42" s="5">
        <v>1</v>
      </c>
      <c r="B42" s="5" t="s">
        <v>10</v>
      </c>
      <c r="C42" s="5" t="s">
        <v>14</v>
      </c>
      <c r="D42" s="5">
        <v>55</v>
      </c>
      <c r="E42" s="5">
        <v>61</v>
      </c>
      <c r="F42" s="5">
        <v>54</v>
      </c>
      <c r="G42" s="5">
        <v>170</v>
      </c>
      <c r="H42" s="16">
        <v>56.6666666666666</v>
      </c>
    </row>
    <row r="43" spans="1:8" ht="16" x14ac:dyDescent="0.2">
      <c r="A43" s="5">
        <v>0</v>
      </c>
      <c r="B43" s="5" t="s">
        <v>10</v>
      </c>
      <c r="C43" s="5" t="s">
        <v>14</v>
      </c>
      <c r="D43" s="5">
        <v>58</v>
      </c>
      <c r="E43" s="5">
        <v>73</v>
      </c>
      <c r="F43" s="5">
        <v>68</v>
      </c>
      <c r="G43" s="5">
        <v>199</v>
      </c>
      <c r="H43" s="16">
        <v>66.3333333333333</v>
      </c>
    </row>
    <row r="44" spans="1:8" ht="16" x14ac:dyDescent="0.2">
      <c r="A44" s="5">
        <v>0</v>
      </c>
      <c r="B44" s="5" t="s">
        <v>8</v>
      </c>
      <c r="C44" s="5" t="s">
        <v>14</v>
      </c>
      <c r="D44" s="5">
        <v>53</v>
      </c>
      <c r="E44" s="5">
        <v>58</v>
      </c>
      <c r="F44" s="5">
        <v>65</v>
      </c>
      <c r="G44" s="5">
        <v>176</v>
      </c>
      <c r="H44" s="16">
        <v>58.6666666666666</v>
      </c>
    </row>
    <row r="45" spans="1:8" ht="16" x14ac:dyDescent="0.2">
      <c r="A45" s="5">
        <v>1</v>
      </c>
      <c r="B45" s="5" t="s">
        <v>8</v>
      </c>
      <c r="C45" s="5" t="s">
        <v>11</v>
      </c>
      <c r="D45" s="5">
        <v>59</v>
      </c>
      <c r="E45" s="5">
        <v>65</v>
      </c>
      <c r="F45" s="5">
        <v>66</v>
      </c>
      <c r="G45" s="5">
        <v>190</v>
      </c>
      <c r="H45" s="16">
        <f>(D45+E45+F45)/3</f>
        <v>63.333333333333336</v>
      </c>
    </row>
    <row r="46" spans="1:8" ht="16" x14ac:dyDescent="0.2">
      <c r="A46" s="5">
        <v>0</v>
      </c>
      <c r="B46" s="5" t="s">
        <v>18</v>
      </c>
      <c r="C46" s="5" t="s">
        <v>14</v>
      </c>
      <c r="D46" s="5">
        <v>50</v>
      </c>
      <c r="E46" s="5">
        <v>56</v>
      </c>
      <c r="F46" s="5">
        <v>54</v>
      </c>
      <c r="G46" s="5">
        <v>160</v>
      </c>
      <c r="H46" s="16">
        <v>53.3333333333333</v>
      </c>
    </row>
    <row r="47" spans="1:8" ht="16" x14ac:dyDescent="0.2">
      <c r="A47" s="5">
        <v>1</v>
      </c>
      <c r="B47" s="5" t="s">
        <v>8</v>
      </c>
      <c r="C47" s="5" t="s">
        <v>14</v>
      </c>
      <c r="D47" s="5">
        <v>65</v>
      </c>
      <c r="E47" s="5">
        <v>54</v>
      </c>
      <c r="F47" s="5">
        <v>57</v>
      </c>
      <c r="G47" s="5">
        <v>176</v>
      </c>
      <c r="H47" s="16">
        <v>58.6666666666666</v>
      </c>
    </row>
    <row r="48" spans="1:8" ht="16" x14ac:dyDescent="0.2">
      <c r="A48" s="5">
        <v>0</v>
      </c>
      <c r="B48" s="5" t="s">
        <v>13</v>
      </c>
      <c r="C48" s="5" t="s">
        <v>14</v>
      </c>
      <c r="D48" s="5">
        <v>55</v>
      </c>
      <c r="E48" s="5">
        <v>65</v>
      </c>
      <c r="F48" s="5">
        <v>62</v>
      </c>
      <c r="G48" s="5">
        <v>182</v>
      </c>
      <c r="H48" s="16">
        <v>60.6666666666666</v>
      </c>
    </row>
    <row r="49" spans="1:8" ht="16" x14ac:dyDescent="0.2">
      <c r="A49" s="5">
        <v>0</v>
      </c>
      <c r="B49" s="5" t="s">
        <v>10</v>
      </c>
      <c r="C49" s="5" t="s">
        <v>16</v>
      </c>
      <c r="D49" s="5">
        <v>66</v>
      </c>
      <c r="E49" s="5">
        <v>71</v>
      </c>
      <c r="F49" s="5">
        <v>76</v>
      </c>
      <c r="G49" s="5">
        <v>213</v>
      </c>
      <c r="H49" s="16">
        <v>71</v>
      </c>
    </row>
    <row r="50" spans="1:8" ht="16" x14ac:dyDescent="0.2">
      <c r="A50" s="5">
        <v>0</v>
      </c>
      <c r="B50" s="5" t="s">
        <v>15</v>
      </c>
      <c r="C50" s="5" t="s">
        <v>14</v>
      </c>
      <c r="D50" s="5">
        <v>57</v>
      </c>
      <c r="E50" s="5">
        <v>74</v>
      </c>
      <c r="F50" s="5">
        <v>76</v>
      </c>
      <c r="G50" s="5">
        <v>207</v>
      </c>
      <c r="H50" s="16">
        <v>69</v>
      </c>
    </row>
    <row r="51" spans="1:8" ht="16" x14ac:dyDescent="0.2">
      <c r="A51" s="5">
        <v>1</v>
      </c>
      <c r="B51" s="5" t="s">
        <v>10</v>
      </c>
      <c r="C51" s="5" t="s">
        <v>16</v>
      </c>
      <c r="D51" s="5">
        <v>82</v>
      </c>
      <c r="E51" s="5">
        <v>84</v>
      </c>
      <c r="F51" s="5">
        <v>82</v>
      </c>
      <c r="G51" s="5">
        <v>248</v>
      </c>
      <c r="H51" s="16">
        <v>82.6666666666666</v>
      </c>
    </row>
    <row r="52" spans="1:8" ht="16" x14ac:dyDescent="0.2">
      <c r="A52" s="5">
        <v>1</v>
      </c>
      <c r="B52" s="5" t="s">
        <v>18</v>
      </c>
      <c r="C52" s="5" t="s">
        <v>11</v>
      </c>
      <c r="D52" s="5">
        <v>53</v>
      </c>
      <c r="E52" s="5">
        <v>55</v>
      </c>
      <c r="F52" s="5">
        <v>48</v>
      </c>
      <c r="G52" s="5">
        <v>156</v>
      </c>
      <c r="H52" s="16">
        <v>52</v>
      </c>
    </row>
    <row r="53" spans="1:8" ht="16" x14ac:dyDescent="0.2">
      <c r="A53" s="5">
        <v>1</v>
      </c>
      <c r="B53" s="5" t="s">
        <v>18</v>
      </c>
      <c r="C53" s="5" t="s">
        <v>14</v>
      </c>
      <c r="D53" s="5">
        <v>77</v>
      </c>
      <c r="E53" s="5">
        <v>69</v>
      </c>
      <c r="F53" s="5">
        <v>68</v>
      </c>
      <c r="G53" s="5">
        <v>214</v>
      </c>
      <c r="H53" s="16">
        <v>71.3333333333333</v>
      </c>
    </row>
    <row r="54" spans="1:8" ht="16" x14ac:dyDescent="0.2">
      <c r="A54" s="5">
        <v>1</v>
      </c>
      <c r="B54" s="5" t="s">
        <v>10</v>
      </c>
      <c r="C54" s="5" t="s">
        <v>11</v>
      </c>
      <c r="D54" s="5">
        <v>53</v>
      </c>
      <c r="E54" s="5">
        <v>44</v>
      </c>
      <c r="F54" s="5">
        <v>42</v>
      </c>
      <c r="G54" s="5">
        <v>139</v>
      </c>
      <c r="H54" s="16">
        <v>46.3333333333333</v>
      </c>
    </row>
    <row r="55" spans="1:8" ht="16" x14ac:dyDescent="0.2">
      <c r="A55" s="5">
        <v>1</v>
      </c>
      <c r="B55" s="5" t="s">
        <v>15</v>
      </c>
      <c r="C55" s="5" t="s">
        <v>16</v>
      </c>
      <c r="D55" s="5">
        <v>88</v>
      </c>
      <c r="E55" s="5">
        <v>78</v>
      </c>
      <c r="F55" s="5">
        <v>75</v>
      </c>
      <c r="G55" s="5">
        <v>241</v>
      </c>
      <c r="H55" s="16">
        <v>80.3333333333333</v>
      </c>
    </row>
    <row r="56" spans="1:8" ht="16" x14ac:dyDescent="0.2">
      <c r="A56" s="5">
        <v>0</v>
      </c>
      <c r="B56" s="5" t="s">
        <v>10</v>
      </c>
      <c r="C56" s="5" t="s">
        <v>17</v>
      </c>
      <c r="D56" s="5">
        <v>71</v>
      </c>
      <c r="E56" s="5">
        <v>84</v>
      </c>
      <c r="F56" s="5">
        <v>87</v>
      </c>
      <c r="G56" s="5">
        <v>242</v>
      </c>
      <c r="H56" s="16">
        <v>80.6666666666666</v>
      </c>
    </row>
    <row r="57" spans="1:8" ht="16" x14ac:dyDescent="0.2">
      <c r="A57" s="5">
        <v>0</v>
      </c>
      <c r="B57" s="5" t="s">
        <v>10</v>
      </c>
      <c r="C57" s="5" t="s">
        <v>16</v>
      </c>
      <c r="D57" s="5">
        <v>33</v>
      </c>
      <c r="E57" s="5">
        <v>41</v>
      </c>
      <c r="F57" s="5">
        <v>43</v>
      </c>
      <c r="G57" s="5">
        <v>117</v>
      </c>
      <c r="H57" s="16">
        <v>39</v>
      </c>
    </row>
    <row r="58" spans="1:8" ht="16" x14ac:dyDescent="0.2">
      <c r="A58" s="5">
        <v>0</v>
      </c>
      <c r="B58" s="5" t="s">
        <v>18</v>
      </c>
      <c r="C58" s="5" t="s">
        <v>14</v>
      </c>
      <c r="D58" s="5">
        <v>82</v>
      </c>
      <c r="E58" s="5">
        <v>85</v>
      </c>
      <c r="F58" s="5">
        <v>86</v>
      </c>
      <c r="G58" s="5">
        <v>253</v>
      </c>
      <c r="H58" s="16">
        <v>84.3333333333333</v>
      </c>
    </row>
    <row r="59" spans="1:8" ht="16" x14ac:dyDescent="0.2">
      <c r="A59" s="5">
        <v>1</v>
      </c>
      <c r="B59" s="5" t="s">
        <v>15</v>
      </c>
      <c r="C59" s="5" t="s">
        <v>14</v>
      </c>
      <c r="D59" s="5">
        <v>52</v>
      </c>
      <c r="E59" s="5">
        <v>55</v>
      </c>
      <c r="F59" s="5">
        <v>49</v>
      </c>
      <c r="G59" s="5">
        <v>156</v>
      </c>
      <c r="H59" s="16">
        <v>52</v>
      </c>
    </row>
    <row r="60" spans="1:8" ht="16" x14ac:dyDescent="0.2">
      <c r="A60" s="5">
        <v>1</v>
      </c>
      <c r="B60" s="5" t="s">
        <v>15</v>
      </c>
      <c r="C60" s="5" t="s">
        <v>11</v>
      </c>
      <c r="D60" s="5">
        <v>58</v>
      </c>
      <c r="E60" s="5">
        <v>59</v>
      </c>
      <c r="F60" s="5">
        <v>58</v>
      </c>
      <c r="G60" s="5">
        <v>175</v>
      </c>
      <c r="H60" s="16">
        <v>58.3333333333333</v>
      </c>
    </row>
    <row r="61" spans="1:8" ht="16" x14ac:dyDescent="0.2">
      <c r="A61" s="5">
        <v>0</v>
      </c>
      <c r="B61" s="5" t="s">
        <v>10</v>
      </c>
      <c r="C61" s="5" t="s">
        <v>17</v>
      </c>
      <c r="D61" s="5">
        <v>0</v>
      </c>
      <c r="E61" s="5">
        <v>17</v>
      </c>
      <c r="F61" s="5">
        <v>10</v>
      </c>
      <c r="G61" s="5">
        <v>27</v>
      </c>
      <c r="H61" s="16">
        <v>9</v>
      </c>
    </row>
    <row r="62" spans="1:8" ht="16" x14ac:dyDescent="0.2">
      <c r="A62" s="5">
        <v>1</v>
      </c>
      <c r="B62" s="5" t="s">
        <v>18</v>
      </c>
      <c r="C62" s="5" t="s">
        <v>9</v>
      </c>
      <c r="D62" s="5">
        <v>79</v>
      </c>
      <c r="E62" s="5">
        <v>74</v>
      </c>
      <c r="F62" s="5">
        <v>72</v>
      </c>
      <c r="G62" s="5">
        <v>225</v>
      </c>
      <c r="H62" s="16">
        <v>75</v>
      </c>
    </row>
    <row r="63" spans="1:8" ht="16" x14ac:dyDescent="0.2">
      <c r="A63" s="5">
        <v>1</v>
      </c>
      <c r="B63" s="5" t="s">
        <v>13</v>
      </c>
      <c r="C63" s="5" t="s">
        <v>23</v>
      </c>
      <c r="D63" s="5">
        <v>39</v>
      </c>
      <c r="E63" s="5">
        <v>39</v>
      </c>
      <c r="F63" s="5">
        <v>34</v>
      </c>
      <c r="G63" s="5">
        <v>112</v>
      </c>
      <c r="H63" s="16">
        <v>37.3333333333333</v>
      </c>
    </row>
    <row r="64" spans="1:8" ht="16" x14ac:dyDescent="0.2">
      <c r="A64" s="5">
        <v>1</v>
      </c>
      <c r="B64" s="5" t="s">
        <v>13</v>
      </c>
      <c r="C64" s="5" t="s">
        <v>14</v>
      </c>
      <c r="D64" s="5">
        <v>62</v>
      </c>
      <c r="E64" s="5">
        <v>61</v>
      </c>
      <c r="F64" s="5">
        <v>55</v>
      </c>
      <c r="G64" s="5">
        <v>178</v>
      </c>
      <c r="H64" s="16">
        <v>59.3333333333333</v>
      </c>
    </row>
    <row r="65" spans="1:8" ht="16" x14ac:dyDescent="0.2">
      <c r="A65" s="5">
        <v>0</v>
      </c>
      <c r="B65" s="5" t="s">
        <v>10</v>
      </c>
      <c r="C65" s="5" t="s">
        <v>14</v>
      </c>
      <c r="D65" s="5">
        <v>69</v>
      </c>
      <c r="E65" s="5">
        <v>80</v>
      </c>
      <c r="F65" s="5">
        <v>71</v>
      </c>
      <c r="G65" s="5">
        <v>220</v>
      </c>
      <c r="H65" s="16">
        <v>73.3333333333333</v>
      </c>
    </row>
    <row r="66" spans="1:8" ht="16" x14ac:dyDescent="0.2">
      <c r="A66" s="5">
        <v>0</v>
      </c>
      <c r="B66" s="5" t="s">
        <v>15</v>
      </c>
      <c r="C66" s="5" t="s">
        <v>17</v>
      </c>
      <c r="D66" s="5">
        <v>59</v>
      </c>
      <c r="E66" s="5">
        <v>58</v>
      </c>
      <c r="F66" s="5">
        <v>59</v>
      </c>
      <c r="G66" s="5">
        <v>176</v>
      </c>
      <c r="H66" s="16">
        <v>58.6666666666666</v>
      </c>
    </row>
    <row r="67" spans="1:8" ht="16" x14ac:dyDescent="0.2">
      <c r="A67" s="5">
        <v>1</v>
      </c>
      <c r="B67" s="5" t="s">
        <v>8</v>
      </c>
      <c r="C67" s="5" t="s">
        <v>17</v>
      </c>
      <c r="D67" s="5">
        <v>67</v>
      </c>
      <c r="E67" s="5">
        <v>64</v>
      </c>
      <c r="F67" s="5">
        <v>61</v>
      </c>
      <c r="G67" s="5">
        <v>192</v>
      </c>
      <c r="H67" s="16">
        <v>64</v>
      </c>
    </row>
    <row r="68" spans="1:8" ht="16" x14ac:dyDescent="0.2">
      <c r="A68" s="5">
        <v>1</v>
      </c>
      <c r="B68" s="5" t="s">
        <v>15</v>
      </c>
      <c r="C68" s="5" t="s">
        <v>17</v>
      </c>
      <c r="D68" s="5">
        <v>45</v>
      </c>
      <c r="E68" s="5">
        <v>37</v>
      </c>
      <c r="F68" s="5">
        <v>37</v>
      </c>
      <c r="G68" s="5">
        <v>119</v>
      </c>
      <c r="H68" s="16">
        <v>39.6666666666666</v>
      </c>
    </row>
    <row r="69" spans="1:8" ht="16" x14ac:dyDescent="0.2">
      <c r="A69" s="5">
        <v>0</v>
      </c>
      <c r="B69" s="5" t="s">
        <v>10</v>
      </c>
      <c r="C69" s="5" t="s">
        <v>11</v>
      </c>
      <c r="D69" s="5">
        <v>60</v>
      </c>
      <c r="E69" s="5">
        <v>72</v>
      </c>
      <c r="F69" s="5">
        <v>74</v>
      </c>
      <c r="G69" s="5">
        <v>206</v>
      </c>
      <c r="H69" s="16">
        <v>68.6666666666666</v>
      </c>
    </row>
    <row r="70" spans="1:8" ht="16" x14ac:dyDescent="0.2">
      <c r="A70" s="5">
        <v>1</v>
      </c>
      <c r="B70" s="5" t="s">
        <v>8</v>
      </c>
      <c r="C70" s="5" t="s">
        <v>14</v>
      </c>
      <c r="D70" s="5">
        <v>61</v>
      </c>
      <c r="E70" s="5">
        <v>58</v>
      </c>
      <c r="F70" s="5">
        <v>56</v>
      </c>
      <c r="G70" s="5">
        <v>175</v>
      </c>
      <c r="H70" s="16">
        <v>58.3333333333333</v>
      </c>
    </row>
    <row r="71" spans="1:8" ht="16" x14ac:dyDescent="0.2">
      <c r="A71" s="5">
        <v>0</v>
      </c>
      <c r="B71" s="5" t="s">
        <v>10</v>
      </c>
      <c r="C71" s="5" t="s">
        <v>14</v>
      </c>
      <c r="D71" s="5">
        <v>39</v>
      </c>
      <c r="E71" s="5">
        <v>64</v>
      </c>
      <c r="F71" s="5">
        <v>57</v>
      </c>
      <c r="G71" s="5">
        <v>160</v>
      </c>
      <c r="H71" s="16">
        <v>53.3333333333333</v>
      </c>
    </row>
    <row r="72" spans="1:8" ht="16" x14ac:dyDescent="0.2">
      <c r="A72" s="5">
        <v>0</v>
      </c>
      <c r="B72" s="5" t="s">
        <v>15</v>
      </c>
      <c r="C72" s="5" t="s">
        <v>23</v>
      </c>
      <c r="D72" s="5">
        <v>58</v>
      </c>
      <c r="E72" s="5">
        <v>63</v>
      </c>
      <c r="F72" s="5">
        <v>73</v>
      </c>
      <c r="G72" s="5">
        <v>194</v>
      </c>
      <c r="H72" s="16">
        <v>64.6666666666666</v>
      </c>
    </row>
    <row r="73" spans="1:8" ht="16" x14ac:dyDescent="0.2">
      <c r="A73" s="5">
        <v>1</v>
      </c>
      <c r="B73" s="5" t="s">
        <v>15</v>
      </c>
      <c r="C73" s="5" t="s">
        <v>11</v>
      </c>
      <c r="D73" s="5">
        <v>63</v>
      </c>
      <c r="E73" s="5">
        <v>55</v>
      </c>
      <c r="F73" s="5">
        <v>63</v>
      </c>
      <c r="G73" s="5">
        <v>181</v>
      </c>
      <c r="H73" s="16">
        <v>60.3333333333333</v>
      </c>
    </row>
    <row r="74" spans="1:8" ht="16" x14ac:dyDescent="0.2">
      <c r="A74" s="5">
        <v>0</v>
      </c>
      <c r="B74" s="5" t="s">
        <v>13</v>
      </c>
      <c r="C74" s="5" t="s">
        <v>14</v>
      </c>
      <c r="D74" s="5">
        <v>41</v>
      </c>
      <c r="E74" s="5">
        <v>51</v>
      </c>
      <c r="F74" s="5">
        <v>48</v>
      </c>
      <c r="G74" s="5">
        <v>140</v>
      </c>
      <c r="H74" s="16">
        <v>46.6666666666666</v>
      </c>
    </row>
    <row r="75" spans="1:8" ht="16" x14ac:dyDescent="0.2">
      <c r="A75" s="5">
        <v>1</v>
      </c>
      <c r="B75" s="5" t="s">
        <v>10</v>
      </c>
      <c r="C75" s="5" t="s">
        <v>17</v>
      </c>
      <c r="D75" s="5">
        <v>61</v>
      </c>
      <c r="E75" s="5">
        <v>57</v>
      </c>
      <c r="F75" s="5">
        <v>56</v>
      </c>
      <c r="G75" s="5">
        <v>174</v>
      </c>
      <c r="H75" s="16">
        <v>58</v>
      </c>
    </row>
    <row r="76" spans="1:8" ht="16" x14ac:dyDescent="0.2">
      <c r="A76" s="5">
        <v>1</v>
      </c>
      <c r="B76" s="5" t="s">
        <v>10</v>
      </c>
      <c r="C76" s="5" t="s">
        <v>17</v>
      </c>
      <c r="D76" s="5">
        <v>49</v>
      </c>
      <c r="E76" s="5">
        <v>49</v>
      </c>
      <c r="F76" s="5">
        <v>41</v>
      </c>
      <c r="G76" s="5">
        <v>139</v>
      </c>
      <c r="H76" s="16">
        <v>46.3333333333333</v>
      </c>
    </row>
    <row r="77" spans="1:8" ht="16" x14ac:dyDescent="0.2">
      <c r="A77" s="5">
        <v>1</v>
      </c>
      <c r="B77" s="5" t="s">
        <v>8</v>
      </c>
      <c r="C77" s="5" t="s">
        <v>14</v>
      </c>
      <c r="D77" s="5">
        <v>44</v>
      </c>
      <c r="E77" s="5">
        <v>41</v>
      </c>
      <c r="F77" s="5">
        <v>38</v>
      </c>
      <c r="G77" s="5">
        <v>123</v>
      </c>
      <c r="H77" s="16">
        <v>41</v>
      </c>
    </row>
    <row r="78" spans="1:8" ht="16" x14ac:dyDescent="0.2">
      <c r="A78" s="5">
        <v>1</v>
      </c>
      <c r="B78" s="5" t="s">
        <v>18</v>
      </c>
      <c r="C78" s="5" t="s">
        <v>17</v>
      </c>
      <c r="D78" s="5">
        <v>30</v>
      </c>
      <c r="E78" s="5">
        <v>26</v>
      </c>
      <c r="F78" s="5">
        <v>22</v>
      </c>
      <c r="G78" s="5">
        <v>78</v>
      </c>
      <c r="H78" s="16">
        <v>26</v>
      </c>
    </row>
    <row r="79" spans="1:8" ht="16" x14ac:dyDescent="0.2">
      <c r="A79" s="5">
        <v>1</v>
      </c>
      <c r="B79" s="5" t="s">
        <v>13</v>
      </c>
      <c r="C79" s="5" t="s">
        <v>9</v>
      </c>
      <c r="D79" s="5">
        <v>80</v>
      </c>
      <c r="E79" s="5">
        <v>78</v>
      </c>
      <c r="F79" s="5">
        <v>81</v>
      </c>
      <c r="G79" s="5">
        <v>239</v>
      </c>
      <c r="H79" s="16">
        <v>79.6666666666666</v>
      </c>
    </row>
    <row r="80" spans="1:8" ht="16" x14ac:dyDescent="0.2">
      <c r="A80" s="5">
        <v>0</v>
      </c>
      <c r="B80" s="5" t="s">
        <v>15</v>
      </c>
      <c r="C80" s="5" t="s">
        <v>17</v>
      </c>
      <c r="D80" s="5">
        <v>61</v>
      </c>
      <c r="E80" s="5">
        <v>74</v>
      </c>
      <c r="F80" s="5">
        <v>72</v>
      </c>
      <c r="G80" s="5">
        <v>207</v>
      </c>
      <c r="H80" s="16">
        <v>69</v>
      </c>
    </row>
    <row r="81" spans="1:8" ht="16" x14ac:dyDescent="0.2">
      <c r="A81" s="5">
        <v>0</v>
      </c>
      <c r="B81" s="5" t="s">
        <v>18</v>
      </c>
      <c r="C81" s="5" t="s">
        <v>12</v>
      </c>
      <c r="D81" s="5">
        <v>62</v>
      </c>
      <c r="E81" s="5">
        <v>68</v>
      </c>
      <c r="F81" s="5">
        <v>68</v>
      </c>
      <c r="G81" s="5">
        <v>198</v>
      </c>
      <c r="H81" s="16">
        <v>66</v>
      </c>
    </row>
    <row r="82" spans="1:8" ht="16" x14ac:dyDescent="0.2">
      <c r="A82" s="5">
        <v>0</v>
      </c>
      <c r="B82" s="5" t="s">
        <v>8</v>
      </c>
      <c r="C82" s="5" t="s">
        <v>14</v>
      </c>
      <c r="D82" s="5">
        <v>47</v>
      </c>
      <c r="E82" s="5">
        <v>49</v>
      </c>
      <c r="F82" s="5">
        <v>50</v>
      </c>
      <c r="G82" s="5">
        <v>146</v>
      </c>
      <c r="H82" s="16">
        <v>48.6666666666666</v>
      </c>
    </row>
    <row r="83" spans="1:8" ht="16" x14ac:dyDescent="0.2">
      <c r="A83" s="5">
        <v>1</v>
      </c>
      <c r="B83" s="5" t="s">
        <v>8</v>
      </c>
      <c r="C83" s="5" t="s">
        <v>16</v>
      </c>
      <c r="D83" s="5">
        <v>49</v>
      </c>
      <c r="E83" s="5">
        <v>45</v>
      </c>
      <c r="F83" s="5">
        <v>45</v>
      </c>
      <c r="G83" s="5">
        <v>139</v>
      </c>
      <c r="H83" s="16">
        <v>46.3333333333333</v>
      </c>
    </row>
    <row r="84" spans="1:8" ht="16" x14ac:dyDescent="0.2">
      <c r="A84" s="5">
        <v>1</v>
      </c>
      <c r="B84" s="5" t="s">
        <v>13</v>
      </c>
      <c r="C84" s="5" t="s">
        <v>11</v>
      </c>
      <c r="D84" s="5">
        <v>50</v>
      </c>
      <c r="E84" s="5">
        <v>47</v>
      </c>
      <c r="F84" s="5">
        <v>54</v>
      </c>
      <c r="G84" s="5">
        <v>151</v>
      </c>
      <c r="H84" s="16">
        <v>50.3333333333333</v>
      </c>
    </row>
    <row r="85" spans="1:8" ht="16" x14ac:dyDescent="0.2">
      <c r="A85" s="5">
        <v>1</v>
      </c>
      <c r="B85" s="5" t="s">
        <v>18</v>
      </c>
      <c r="C85" s="5" t="s">
        <v>14</v>
      </c>
      <c r="D85" s="5">
        <v>72</v>
      </c>
      <c r="E85" s="5">
        <v>64</v>
      </c>
      <c r="F85" s="5">
        <v>63</v>
      </c>
      <c r="G85" s="5">
        <v>199</v>
      </c>
      <c r="H85" s="16">
        <v>66.3333333333333</v>
      </c>
    </row>
    <row r="86" spans="1:8" ht="16" x14ac:dyDescent="0.2">
      <c r="A86" s="5">
        <v>1</v>
      </c>
      <c r="B86" s="5" t="s">
        <v>15</v>
      </c>
      <c r="C86" s="5" t="s">
        <v>16</v>
      </c>
      <c r="D86" s="5">
        <v>42</v>
      </c>
      <c r="E86" s="5">
        <v>39</v>
      </c>
      <c r="F86" s="5">
        <v>34</v>
      </c>
      <c r="G86" s="5">
        <v>115</v>
      </c>
      <c r="H86" s="16">
        <v>38.3333333333333</v>
      </c>
    </row>
    <row r="87" spans="1:8" ht="16" x14ac:dyDescent="0.2">
      <c r="A87" s="5">
        <v>0</v>
      </c>
      <c r="B87" s="5" t="s">
        <v>10</v>
      </c>
      <c r="C87" s="5" t="s">
        <v>11</v>
      </c>
      <c r="D87" s="5">
        <v>73</v>
      </c>
      <c r="E87" s="5">
        <v>80</v>
      </c>
      <c r="F87" s="5">
        <v>82</v>
      </c>
      <c r="G87" s="5">
        <v>235</v>
      </c>
      <c r="H87" s="16">
        <v>78.3333333333333</v>
      </c>
    </row>
    <row r="88" spans="1:8" ht="16" x14ac:dyDescent="0.2">
      <c r="A88" s="5">
        <v>0</v>
      </c>
      <c r="B88" s="5" t="s">
        <v>10</v>
      </c>
      <c r="C88" s="5" t="s">
        <v>11</v>
      </c>
      <c r="D88" s="5">
        <v>76</v>
      </c>
      <c r="E88" s="5">
        <v>83</v>
      </c>
      <c r="F88" s="5">
        <v>88</v>
      </c>
      <c r="G88" s="5">
        <v>247</v>
      </c>
      <c r="H88" s="16">
        <v>82.3333333333333</v>
      </c>
    </row>
    <row r="89" spans="1:8" ht="16" x14ac:dyDescent="0.2">
      <c r="A89" s="5">
        <v>0</v>
      </c>
      <c r="B89" s="5" t="s">
        <v>15</v>
      </c>
      <c r="C89" s="5" t="s">
        <v>14</v>
      </c>
      <c r="D89" s="5">
        <v>71</v>
      </c>
      <c r="E89" s="5">
        <v>71</v>
      </c>
      <c r="F89" s="5">
        <v>74</v>
      </c>
      <c r="G89" s="5">
        <v>216</v>
      </c>
      <c r="H89" s="16">
        <v>72</v>
      </c>
    </row>
    <row r="90" spans="1:8" ht="16" x14ac:dyDescent="0.2">
      <c r="A90" s="5">
        <v>0</v>
      </c>
      <c r="B90" s="5" t="s">
        <v>13</v>
      </c>
      <c r="C90" s="5" t="s">
        <v>11</v>
      </c>
      <c r="D90" s="5">
        <v>58</v>
      </c>
      <c r="E90" s="5">
        <v>70</v>
      </c>
      <c r="F90" s="5">
        <v>67</v>
      </c>
      <c r="G90" s="5">
        <v>195</v>
      </c>
      <c r="H90" s="16">
        <v>65</v>
      </c>
    </row>
    <row r="91" spans="1:8" ht="16" x14ac:dyDescent="0.2">
      <c r="A91" s="5">
        <v>0</v>
      </c>
      <c r="B91" s="5" t="s">
        <v>15</v>
      </c>
      <c r="C91" s="5" t="s">
        <v>17</v>
      </c>
      <c r="D91" s="5">
        <v>73</v>
      </c>
      <c r="E91" s="5">
        <v>86</v>
      </c>
      <c r="F91" s="5">
        <v>82</v>
      </c>
      <c r="G91" s="5">
        <v>241</v>
      </c>
      <c r="H91" s="16">
        <v>80.3333333333333</v>
      </c>
    </row>
    <row r="92" spans="1:8" ht="16" x14ac:dyDescent="0.2">
      <c r="A92" s="5">
        <v>0</v>
      </c>
      <c r="B92" s="5" t="s">
        <v>10</v>
      </c>
      <c r="C92" s="5" t="s">
        <v>9</v>
      </c>
      <c r="D92" s="5">
        <v>65</v>
      </c>
      <c r="E92" s="5">
        <v>72</v>
      </c>
      <c r="F92" s="5">
        <v>74</v>
      </c>
      <c r="G92" s="5">
        <v>211</v>
      </c>
      <c r="H92" s="16">
        <v>70.3333333333333</v>
      </c>
    </row>
    <row r="93" spans="1:8" ht="16" x14ac:dyDescent="0.2">
      <c r="A93" s="5">
        <v>1</v>
      </c>
      <c r="B93" s="5" t="s">
        <v>10</v>
      </c>
      <c r="C93" s="5" t="s">
        <v>16</v>
      </c>
      <c r="D93" s="5">
        <v>27</v>
      </c>
      <c r="E93" s="5">
        <v>34</v>
      </c>
      <c r="F93" s="5">
        <v>36</v>
      </c>
      <c r="G93" s="5">
        <v>97</v>
      </c>
      <c r="H93" s="16">
        <v>32.3333333333333</v>
      </c>
    </row>
    <row r="94" spans="1:8" ht="16" x14ac:dyDescent="0.2">
      <c r="A94" s="5">
        <v>1</v>
      </c>
      <c r="B94" s="5" t="s">
        <v>10</v>
      </c>
      <c r="C94" s="5" t="s">
        <v>16</v>
      </c>
      <c r="D94" s="5">
        <v>71</v>
      </c>
      <c r="E94" s="5">
        <v>79</v>
      </c>
      <c r="F94" s="5">
        <v>71</v>
      </c>
      <c r="G94" s="5">
        <v>221</v>
      </c>
      <c r="H94" s="16">
        <v>73.6666666666666</v>
      </c>
    </row>
    <row r="95" spans="1:8" ht="16" x14ac:dyDescent="0.2">
      <c r="A95" s="5">
        <v>1</v>
      </c>
      <c r="B95" s="5" t="s">
        <v>10</v>
      </c>
      <c r="C95" s="5" t="s">
        <v>14</v>
      </c>
      <c r="D95" s="5">
        <v>43</v>
      </c>
      <c r="E95" s="5">
        <v>45</v>
      </c>
      <c r="F95" s="5">
        <v>50</v>
      </c>
      <c r="G95" s="5">
        <v>138</v>
      </c>
      <c r="H95" s="16">
        <v>46</v>
      </c>
    </row>
    <row r="96" spans="1:8" ht="16" x14ac:dyDescent="0.2">
      <c r="A96" s="5">
        <v>0</v>
      </c>
      <c r="B96" s="5" t="s">
        <v>8</v>
      </c>
      <c r="C96" s="5" t="s">
        <v>11</v>
      </c>
      <c r="D96" s="5">
        <v>79</v>
      </c>
      <c r="E96" s="5">
        <v>86</v>
      </c>
      <c r="F96" s="5">
        <v>92</v>
      </c>
      <c r="G96" s="5">
        <v>257</v>
      </c>
      <c r="H96" s="16">
        <v>85.6666666666666</v>
      </c>
    </row>
    <row r="97" spans="1:8" ht="16" x14ac:dyDescent="0.2">
      <c r="A97" s="5">
        <v>1</v>
      </c>
      <c r="B97" s="5" t="s">
        <v>10</v>
      </c>
      <c r="C97" s="5" t="s">
        <v>14</v>
      </c>
      <c r="D97" s="5">
        <v>78</v>
      </c>
      <c r="E97" s="5">
        <v>81</v>
      </c>
      <c r="F97" s="5">
        <v>82</v>
      </c>
      <c r="G97" s="5">
        <v>241</v>
      </c>
      <c r="H97" s="16">
        <v>80.3333333333333</v>
      </c>
    </row>
    <row r="98" spans="1:8" ht="16" x14ac:dyDescent="0.2">
      <c r="A98" s="5">
        <v>1</v>
      </c>
      <c r="B98" s="5" t="s">
        <v>8</v>
      </c>
      <c r="C98" s="5" t="s">
        <v>17</v>
      </c>
      <c r="D98" s="5">
        <v>65</v>
      </c>
      <c r="E98" s="5">
        <v>66</v>
      </c>
      <c r="F98" s="5">
        <v>62</v>
      </c>
      <c r="G98" s="5">
        <v>193</v>
      </c>
      <c r="H98" s="16">
        <v>64.3333333333333</v>
      </c>
    </row>
    <row r="99" spans="1:8" ht="16" x14ac:dyDescent="0.2">
      <c r="A99" s="5">
        <v>0</v>
      </c>
      <c r="B99" s="5" t="s">
        <v>18</v>
      </c>
      <c r="C99" s="5" t="s">
        <v>11</v>
      </c>
      <c r="D99" s="5">
        <v>63</v>
      </c>
      <c r="E99" s="5">
        <v>72</v>
      </c>
      <c r="F99" s="5">
        <v>70</v>
      </c>
      <c r="G99" s="5">
        <v>205</v>
      </c>
      <c r="H99" s="16">
        <v>68.3333333333333</v>
      </c>
    </row>
    <row r="100" spans="1:8" ht="16" x14ac:dyDescent="0.2">
      <c r="A100" s="5">
        <v>0</v>
      </c>
      <c r="B100" s="5" t="s">
        <v>15</v>
      </c>
      <c r="C100" s="5" t="s">
        <v>11</v>
      </c>
      <c r="D100" s="5">
        <v>58</v>
      </c>
      <c r="E100" s="5">
        <v>67</v>
      </c>
      <c r="F100" s="5">
        <v>62</v>
      </c>
      <c r="G100" s="5">
        <v>187</v>
      </c>
      <c r="H100" s="16">
        <v>62.3333333333333</v>
      </c>
    </row>
    <row r="101" spans="1:8" ht="16" x14ac:dyDescent="0.2">
      <c r="A101" s="5">
        <v>0</v>
      </c>
      <c r="B101" s="5" t="s">
        <v>15</v>
      </c>
      <c r="C101" s="5" t="s">
        <v>9</v>
      </c>
      <c r="D101" s="5">
        <v>65</v>
      </c>
      <c r="E101" s="5">
        <v>67</v>
      </c>
      <c r="F101" s="5">
        <v>62</v>
      </c>
      <c r="G101" s="5">
        <v>194</v>
      </c>
      <c r="H101" s="16">
        <v>64.6666666666666</v>
      </c>
    </row>
    <row r="102" spans="1:8" ht="16" x14ac:dyDescent="0.2">
      <c r="A102" s="5">
        <v>1</v>
      </c>
      <c r="B102" s="5" t="s">
        <v>8</v>
      </c>
      <c r="C102" s="5" t="s">
        <v>11</v>
      </c>
      <c r="D102" s="5">
        <v>79</v>
      </c>
      <c r="E102" s="5">
        <v>67</v>
      </c>
      <c r="F102" s="5">
        <v>67</v>
      </c>
      <c r="G102" s="5">
        <v>213</v>
      </c>
      <c r="H102" s="16">
        <v>71</v>
      </c>
    </row>
    <row r="103" spans="1:8" ht="16" x14ac:dyDescent="0.2">
      <c r="A103" s="5">
        <v>1</v>
      </c>
      <c r="B103" s="5" t="s">
        <v>15</v>
      </c>
      <c r="C103" s="5" t="s">
        <v>9</v>
      </c>
      <c r="D103" s="5">
        <v>68</v>
      </c>
      <c r="E103" s="5">
        <v>74</v>
      </c>
      <c r="F103" s="5">
        <v>74</v>
      </c>
      <c r="G103" s="5">
        <v>216</v>
      </c>
      <c r="H103" s="16">
        <v>72</v>
      </c>
    </row>
    <row r="104" spans="1:8" ht="16" x14ac:dyDescent="0.2">
      <c r="A104" s="5">
        <v>0</v>
      </c>
      <c r="B104" s="5" t="s">
        <v>15</v>
      </c>
      <c r="C104" s="5" t="s">
        <v>14</v>
      </c>
      <c r="D104" s="5">
        <v>85</v>
      </c>
      <c r="E104" s="5">
        <v>91</v>
      </c>
      <c r="F104" s="5">
        <v>89</v>
      </c>
      <c r="G104" s="5">
        <v>265</v>
      </c>
      <c r="H104" s="16">
        <v>88.3333333333333</v>
      </c>
    </row>
    <row r="105" spans="1:8" ht="16" x14ac:dyDescent="0.2">
      <c r="A105" s="5">
        <v>1</v>
      </c>
      <c r="B105" s="5" t="s">
        <v>8</v>
      </c>
      <c r="C105" s="5" t="s">
        <v>16</v>
      </c>
      <c r="D105" s="5">
        <v>60</v>
      </c>
      <c r="E105" s="5">
        <v>44</v>
      </c>
      <c r="F105" s="5">
        <v>47</v>
      </c>
      <c r="G105" s="5">
        <v>151</v>
      </c>
      <c r="H105" s="16">
        <v>50.3333333333333</v>
      </c>
    </row>
    <row r="106" spans="1:8" ht="16" x14ac:dyDescent="0.2">
      <c r="A106" s="5">
        <v>1</v>
      </c>
      <c r="B106" s="5" t="s">
        <v>10</v>
      </c>
      <c r="C106" s="5" t="s">
        <v>11</v>
      </c>
      <c r="D106" s="5">
        <v>98</v>
      </c>
      <c r="E106" s="5">
        <v>86</v>
      </c>
      <c r="F106" s="5">
        <v>90</v>
      </c>
      <c r="G106" s="5">
        <v>274</v>
      </c>
      <c r="H106" s="16">
        <v>91.3333333333333</v>
      </c>
    </row>
    <row r="107" spans="1:8" ht="16" x14ac:dyDescent="0.2">
      <c r="A107" s="5">
        <v>0</v>
      </c>
      <c r="B107" s="5" t="s">
        <v>10</v>
      </c>
      <c r="C107" s="5" t="s">
        <v>11</v>
      </c>
      <c r="D107" s="5">
        <v>58</v>
      </c>
      <c r="E107" s="5">
        <v>67</v>
      </c>
      <c r="F107" s="5">
        <v>72</v>
      </c>
      <c r="G107" s="5">
        <v>197</v>
      </c>
      <c r="H107" s="16">
        <v>65.6666666666666</v>
      </c>
    </row>
    <row r="108" spans="1:8" ht="16" x14ac:dyDescent="0.2">
      <c r="A108" s="5">
        <v>0</v>
      </c>
      <c r="B108" s="5" t="s">
        <v>15</v>
      </c>
      <c r="C108" s="5" t="s">
        <v>12</v>
      </c>
      <c r="D108" s="5">
        <v>87</v>
      </c>
      <c r="E108" s="5">
        <v>100</v>
      </c>
      <c r="F108" s="5">
        <v>100</v>
      </c>
      <c r="G108" s="5">
        <v>287</v>
      </c>
      <c r="H108" s="16">
        <v>95.6666666666666</v>
      </c>
    </row>
    <row r="109" spans="1:8" ht="16" x14ac:dyDescent="0.2">
      <c r="A109" s="5">
        <v>1</v>
      </c>
      <c r="B109" s="5" t="s">
        <v>18</v>
      </c>
      <c r="C109" s="5" t="s">
        <v>14</v>
      </c>
      <c r="D109" s="5">
        <v>66</v>
      </c>
      <c r="E109" s="5">
        <v>63</v>
      </c>
      <c r="F109" s="5">
        <v>64</v>
      </c>
      <c r="G109" s="5">
        <v>193</v>
      </c>
      <c r="H109" s="16">
        <f>(D109+E109+F109)/3</f>
        <v>64.333333333333329</v>
      </c>
    </row>
    <row r="110" spans="1:8" ht="16" x14ac:dyDescent="0.2">
      <c r="A110" s="5">
        <v>0</v>
      </c>
      <c r="B110" s="5" t="s">
        <v>8</v>
      </c>
      <c r="C110" s="5" t="s">
        <v>14</v>
      </c>
      <c r="D110" s="5">
        <v>52</v>
      </c>
      <c r="E110" s="5">
        <v>76</v>
      </c>
      <c r="F110" s="5">
        <v>70</v>
      </c>
      <c r="G110" s="5">
        <v>198</v>
      </c>
      <c r="H110" s="16">
        <v>66</v>
      </c>
    </row>
    <row r="111" spans="1:8" ht="16" x14ac:dyDescent="0.2">
      <c r="A111" s="5">
        <v>0</v>
      </c>
      <c r="B111" s="5" t="s">
        <v>8</v>
      </c>
      <c r="C111" s="5" t="s">
        <v>17</v>
      </c>
      <c r="D111" s="5">
        <v>70</v>
      </c>
      <c r="E111" s="5">
        <v>64</v>
      </c>
      <c r="F111" s="5">
        <v>72</v>
      </c>
      <c r="G111" s="5">
        <v>206</v>
      </c>
      <c r="H111" s="16">
        <v>68.6666666666666</v>
      </c>
    </row>
    <row r="112" spans="1:8" ht="16" x14ac:dyDescent="0.2">
      <c r="A112" s="5">
        <v>0</v>
      </c>
      <c r="B112" s="5" t="s">
        <v>15</v>
      </c>
      <c r="C112" s="5" t="s">
        <v>14</v>
      </c>
      <c r="D112" s="5">
        <v>77</v>
      </c>
      <c r="E112" s="5">
        <v>89</v>
      </c>
      <c r="F112" s="5">
        <v>98</v>
      </c>
      <c r="G112" s="5">
        <v>264</v>
      </c>
      <c r="H112" s="16">
        <v>88</v>
      </c>
    </row>
    <row r="113" spans="1:8" ht="16" x14ac:dyDescent="0.2">
      <c r="A113" s="5">
        <v>1</v>
      </c>
      <c r="B113" s="5" t="s">
        <v>10</v>
      </c>
      <c r="C113" s="5" t="s">
        <v>16</v>
      </c>
      <c r="D113" s="5">
        <v>62</v>
      </c>
      <c r="E113" s="5">
        <v>55</v>
      </c>
      <c r="F113" s="5">
        <v>49</v>
      </c>
      <c r="G113" s="5">
        <v>166</v>
      </c>
      <c r="H113" s="16">
        <v>55.3333333333333</v>
      </c>
    </row>
    <row r="114" spans="1:8" ht="16" x14ac:dyDescent="0.2">
      <c r="A114" s="5">
        <v>1</v>
      </c>
      <c r="B114" s="5" t="s">
        <v>13</v>
      </c>
      <c r="C114" s="5" t="s">
        <v>14</v>
      </c>
      <c r="D114" s="5">
        <v>54</v>
      </c>
      <c r="E114" s="5">
        <v>53</v>
      </c>
      <c r="F114" s="5">
        <v>47</v>
      </c>
      <c r="G114" s="5">
        <v>154</v>
      </c>
      <c r="H114" s="16">
        <v>51.3333333333333</v>
      </c>
    </row>
    <row r="115" spans="1:8" ht="16" x14ac:dyDescent="0.2">
      <c r="A115" s="5">
        <v>0</v>
      </c>
      <c r="B115" s="5" t="s">
        <v>15</v>
      </c>
      <c r="C115" s="5" t="s">
        <v>11</v>
      </c>
      <c r="D115" s="5">
        <v>51</v>
      </c>
      <c r="E115" s="5">
        <v>58</v>
      </c>
      <c r="F115" s="5">
        <v>54</v>
      </c>
      <c r="G115" s="5">
        <v>163</v>
      </c>
      <c r="H115" s="16">
        <v>54.3333333333333</v>
      </c>
    </row>
    <row r="116" spans="1:8" ht="16" x14ac:dyDescent="0.2">
      <c r="A116" s="5">
        <v>0</v>
      </c>
      <c r="B116" s="5" t="s">
        <v>18</v>
      </c>
      <c r="C116" s="5" t="s">
        <v>9</v>
      </c>
      <c r="D116" s="5">
        <v>99</v>
      </c>
      <c r="E116" s="5">
        <v>100</v>
      </c>
      <c r="F116" s="5">
        <v>100</v>
      </c>
      <c r="G116" s="5">
        <v>299</v>
      </c>
      <c r="H116" s="16">
        <v>99.6666666666666</v>
      </c>
    </row>
    <row r="117" spans="1:8" ht="16" x14ac:dyDescent="0.2">
      <c r="A117" s="5">
        <v>1</v>
      </c>
      <c r="B117" s="5" t="s">
        <v>10</v>
      </c>
      <c r="C117" s="5" t="s">
        <v>16</v>
      </c>
      <c r="D117" s="5">
        <v>84</v>
      </c>
      <c r="E117" s="5">
        <v>77</v>
      </c>
      <c r="F117" s="5">
        <v>74</v>
      </c>
      <c r="G117" s="5">
        <v>235</v>
      </c>
      <c r="H117" s="16">
        <v>78.3333333333333</v>
      </c>
    </row>
    <row r="118" spans="1:8" ht="16" x14ac:dyDescent="0.2">
      <c r="A118" s="5">
        <v>0</v>
      </c>
      <c r="B118" s="5" t="s">
        <v>8</v>
      </c>
      <c r="C118" s="5" t="s">
        <v>9</v>
      </c>
      <c r="D118" s="5">
        <v>75</v>
      </c>
      <c r="E118" s="5">
        <v>85</v>
      </c>
      <c r="F118" s="5">
        <v>82</v>
      </c>
      <c r="G118" s="5">
        <v>242</v>
      </c>
      <c r="H118" s="16">
        <v>80.6666666666666</v>
      </c>
    </row>
    <row r="119" spans="1:8" ht="16" x14ac:dyDescent="0.2">
      <c r="A119" s="5">
        <v>0</v>
      </c>
      <c r="B119" s="5" t="s">
        <v>15</v>
      </c>
      <c r="C119" s="5" t="s">
        <v>9</v>
      </c>
      <c r="D119" s="5">
        <v>78</v>
      </c>
      <c r="E119" s="5">
        <v>82</v>
      </c>
      <c r="F119" s="5">
        <v>79</v>
      </c>
      <c r="G119" s="5">
        <v>239</v>
      </c>
      <c r="H119" s="16">
        <v>79.6666666666666</v>
      </c>
    </row>
    <row r="120" spans="1:8" ht="16" x14ac:dyDescent="0.2">
      <c r="A120" s="5">
        <v>0</v>
      </c>
      <c r="B120" s="5" t="s">
        <v>15</v>
      </c>
      <c r="C120" s="5" t="s">
        <v>17</v>
      </c>
      <c r="D120" s="5">
        <v>51</v>
      </c>
      <c r="E120" s="5">
        <v>63</v>
      </c>
      <c r="F120" s="5">
        <v>61</v>
      </c>
      <c r="G120" s="5">
        <v>175</v>
      </c>
      <c r="H120" s="16">
        <v>58.3333333333333</v>
      </c>
    </row>
    <row r="121" spans="1:8" ht="16" x14ac:dyDescent="0.2">
      <c r="A121" s="5">
        <v>0</v>
      </c>
      <c r="B121" s="5" t="s">
        <v>10</v>
      </c>
      <c r="C121" s="5" t="s">
        <v>11</v>
      </c>
      <c r="D121" s="5">
        <v>55</v>
      </c>
      <c r="E121" s="5">
        <v>69</v>
      </c>
      <c r="F121" s="5">
        <v>65</v>
      </c>
      <c r="G121" s="5">
        <v>189</v>
      </c>
      <c r="H121" s="16">
        <v>63</v>
      </c>
    </row>
    <row r="122" spans="1:8" ht="16" x14ac:dyDescent="0.2">
      <c r="A122" s="5">
        <v>0</v>
      </c>
      <c r="B122" s="5" t="s">
        <v>10</v>
      </c>
      <c r="C122" s="5" t="s">
        <v>9</v>
      </c>
      <c r="D122" s="5">
        <v>79</v>
      </c>
      <c r="E122" s="5">
        <v>92</v>
      </c>
      <c r="F122" s="5">
        <v>89</v>
      </c>
      <c r="G122" s="5">
        <v>260</v>
      </c>
      <c r="H122" s="16">
        <v>86.6666666666666</v>
      </c>
    </row>
    <row r="123" spans="1:8" ht="16" x14ac:dyDescent="0.2">
      <c r="A123" s="5">
        <v>1</v>
      </c>
      <c r="B123" s="5" t="s">
        <v>8</v>
      </c>
      <c r="C123" s="5" t="s">
        <v>14</v>
      </c>
      <c r="D123" s="5">
        <v>91</v>
      </c>
      <c r="E123" s="5">
        <v>89</v>
      </c>
      <c r="F123" s="5">
        <v>92</v>
      </c>
      <c r="G123" s="5">
        <v>272</v>
      </c>
      <c r="H123" s="16">
        <v>90.6666666666666</v>
      </c>
    </row>
    <row r="124" spans="1:8" ht="16" x14ac:dyDescent="0.2">
      <c r="A124" s="5">
        <v>0</v>
      </c>
      <c r="B124" s="5" t="s">
        <v>10</v>
      </c>
      <c r="C124" s="5" t="s">
        <v>11</v>
      </c>
      <c r="D124" s="5">
        <v>88</v>
      </c>
      <c r="E124" s="5">
        <v>93</v>
      </c>
      <c r="F124" s="5">
        <v>93</v>
      </c>
      <c r="G124" s="5">
        <v>274</v>
      </c>
      <c r="H124" s="16">
        <v>91.3333333333333</v>
      </c>
    </row>
    <row r="125" spans="1:8" ht="16" x14ac:dyDescent="0.2">
      <c r="A125" s="5">
        <v>1</v>
      </c>
      <c r="B125" s="5" t="s">
        <v>15</v>
      </c>
      <c r="C125" s="5" t="s">
        <v>16</v>
      </c>
      <c r="D125" s="5">
        <v>63</v>
      </c>
      <c r="E125" s="5">
        <v>57</v>
      </c>
      <c r="F125" s="5">
        <v>56</v>
      </c>
      <c r="G125" s="5">
        <v>176</v>
      </c>
      <c r="H125" s="16">
        <v>58.6666666666666</v>
      </c>
    </row>
    <row r="126" spans="1:8" ht="16" x14ac:dyDescent="0.2">
      <c r="A126" s="5">
        <v>1</v>
      </c>
      <c r="B126" s="5" t="s">
        <v>18</v>
      </c>
      <c r="C126" s="5" t="s">
        <v>11</v>
      </c>
      <c r="D126" s="5">
        <v>83</v>
      </c>
      <c r="E126" s="5">
        <v>80</v>
      </c>
      <c r="F126" s="5">
        <v>73</v>
      </c>
      <c r="G126" s="5">
        <v>236</v>
      </c>
      <c r="H126" s="16">
        <v>78.6666666666666</v>
      </c>
    </row>
    <row r="127" spans="1:8" ht="16" x14ac:dyDescent="0.2">
      <c r="A127" s="5">
        <v>0</v>
      </c>
      <c r="B127" s="5" t="s">
        <v>8</v>
      </c>
      <c r="C127" s="5" t="s">
        <v>16</v>
      </c>
      <c r="D127" s="5">
        <v>87</v>
      </c>
      <c r="E127" s="5">
        <v>95</v>
      </c>
      <c r="F127" s="5">
        <v>86</v>
      </c>
      <c r="G127" s="5">
        <v>268</v>
      </c>
      <c r="H127" s="16">
        <v>89.3333333333333</v>
      </c>
    </row>
    <row r="128" spans="1:8" ht="16" x14ac:dyDescent="0.2">
      <c r="A128" s="5">
        <v>1</v>
      </c>
      <c r="B128" s="5" t="s">
        <v>8</v>
      </c>
      <c r="C128" s="5" t="s">
        <v>17</v>
      </c>
      <c r="D128" s="5">
        <v>72</v>
      </c>
      <c r="E128" s="5">
        <v>68</v>
      </c>
      <c r="F128" s="5">
        <v>67</v>
      </c>
      <c r="G128" s="5">
        <v>207</v>
      </c>
      <c r="H128" s="16">
        <v>69</v>
      </c>
    </row>
    <row r="129" spans="1:8" ht="16" x14ac:dyDescent="0.2">
      <c r="A129" s="5">
        <v>1</v>
      </c>
      <c r="B129" s="5" t="s">
        <v>15</v>
      </c>
      <c r="C129" s="5" t="s">
        <v>11</v>
      </c>
      <c r="D129" s="5">
        <v>65</v>
      </c>
      <c r="E129" s="5">
        <v>77</v>
      </c>
      <c r="F129" s="5">
        <v>74</v>
      </c>
      <c r="G129" s="5">
        <v>216</v>
      </c>
      <c r="H129" s="16">
        <v>72</v>
      </c>
    </row>
    <row r="130" spans="1:8" ht="16" x14ac:dyDescent="0.2">
      <c r="A130" s="5">
        <v>1</v>
      </c>
      <c r="B130" s="5" t="s">
        <v>15</v>
      </c>
      <c r="C130" s="5" t="s">
        <v>12</v>
      </c>
      <c r="D130" s="5">
        <v>82</v>
      </c>
      <c r="E130" s="5">
        <v>82</v>
      </c>
      <c r="F130" s="5">
        <v>74</v>
      </c>
      <c r="G130" s="5">
        <v>238</v>
      </c>
      <c r="H130" s="16">
        <v>79.3333333333333</v>
      </c>
    </row>
    <row r="131" spans="1:8" ht="16" x14ac:dyDescent="0.2">
      <c r="A131" s="5">
        <v>0</v>
      </c>
      <c r="B131" s="5" t="s">
        <v>13</v>
      </c>
      <c r="C131" s="5" t="s">
        <v>9</v>
      </c>
      <c r="D131" s="5">
        <v>51</v>
      </c>
      <c r="E131" s="5">
        <v>49</v>
      </c>
      <c r="F131" s="5">
        <v>51</v>
      </c>
      <c r="G131" s="5">
        <v>151</v>
      </c>
      <c r="H131" s="16">
        <v>50.3333333333333</v>
      </c>
    </row>
    <row r="132" spans="1:8" ht="16" x14ac:dyDescent="0.2">
      <c r="A132" s="5">
        <v>1</v>
      </c>
      <c r="B132" s="5" t="s">
        <v>15</v>
      </c>
      <c r="C132" s="5" t="s">
        <v>12</v>
      </c>
      <c r="D132" s="5">
        <v>89</v>
      </c>
      <c r="E132" s="5">
        <v>84</v>
      </c>
      <c r="F132" s="5">
        <v>82</v>
      </c>
      <c r="G132" s="5">
        <v>255</v>
      </c>
      <c r="H132" s="16">
        <v>85</v>
      </c>
    </row>
    <row r="133" spans="1:8" ht="16" x14ac:dyDescent="0.2">
      <c r="A133" s="5">
        <v>1</v>
      </c>
      <c r="B133" s="5" t="s">
        <v>10</v>
      </c>
      <c r="C133" s="5" t="s">
        <v>17</v>
      </c>
      <c r="D133" s="5">
        <v>53</v>
      </c>
      <c r="E133" s="5">
        <v>37</v>
      </c>
      <c r="F133" s="5">
        <v>40</v>
      </c>
      <c r="G133" s="5">
        <v>130</v>
      </c>
      <c r="H133" s="16">
        <v>43.3333333333333</v>
      </c>
    </row>
    <row r="134" spans="1:8" ht="16" x14ac:dyDescent="0.2">
      <c r="A134" s="5">
        <v>1</v>
      </c>
      <c r="B134" s="5" t="s">
        <v>18</v>
      </c>
      <c r="C134" s="5" t="s">
        <v>11</v>
      </c>
      <c r="D134" s="5">
        <v>87</v>
      </c>
      <c r="E134" s="5">
        <v>74</v>
      </c>
      <c r="F134" s="5">
        <v>70</v>
      </c>
      <c r="G134" s="5">
        <v>231</v>
      </c>
      <c r="H134" s="16">
        <v>77</v>
      </c>
    </row>
    <row r="135" spans="1:8" ht="16" x14ac:dyDescent="0.2">
      <c r="A135" s="5">
        <v>0</v>
      </c>
      <c r="B135" s="5" t="s">
        <v>10</v>
      </c>
      <c r="C135" s="5" t="s">
        <v>11</v>
      </c>
      <c r="D135" s="5">
        <v>75</v>
      </c>
      <c r="E135" s="5">
        <v>81</v>
      </c>
      <c r="F135" s="5">
        <v>84</v>
      </c>
      <c r="G135" s="5">
        <v>240</v>
      </c>
      <c r="H135" s="16">
        <v>80</v>
      </c>
    </row>
    <row r="136" spans="1:8" ht="16" x14ac:dyDescent="0.2">
      <c r="A136" s="5">
        <v>1</v>
      </c>
      <c r="B136" s="5" t="s">
        <v>15</v>
      </c>
      <c r="C136" s="5" t="s">
        <v>9</v>
      </c>
      <c r="D136" s="5">
        <v>74</v>
      </c>
      <c r="E136" s="5">
        <v>79</v>
      </c>
      <c r="F136" s="5">
        <v>75</v>
      </c>
      <c r="G136" s="5">
        <v>228</v>
      </c>
      <c r="H136" s="16">
        <v>76</v>
      </c>
    </row>
    <row r="137" spans="1:8" ht="16" x14ac:dyDescent="0.2">
      <c r="A137" s="5">
        <v>1</v>
      </c>
      <c r="B137" s="5" t="s">
        <v>10</v>
      </c>
      <c r="C137" s="5" t="s">
        <v>9</v>
      </c>
      <c r="D137" s="5">
        <v>58</v>
      </c>
      <c r="E137" s="5">
        <v>55</v>
      </c>
      <c r="F137" s="5">
        <v>48</v>
      </c>
      <c r="G137" s="5">
        <v>161</v>
      </c>
      <c r="H137" s="16">
        <v>53.6666666666666</v>
      </c>
    </row>
    <row r="138" spans="1:8" ht="16" x14ac:dyDescent="0.2">
      <c r="A138" s="5">
        <v>1</v>
      </c>
      <c r="B138" s="5" t="s">
        <v>8</v>
      </c>
      <c r="C138" s="5" t="s">
        <v>17</v>
      </c>
      <c r="D138" s="5">
        <v>51</v>
      </c>
      <c r="E138" s="5">
        <v>54</v>
      </c>
      <c r="F138" s="5">
        <v>41</v>
      </c>
      <c r="G138" s="5">
        <v>146</v>
      </c>
      <c r="H138" s="16">
        <v>48.6666666666666</v>
      </c>
    </row>
    <row r="139" spans="1:8" ht="16" x14ac:dyDescent="0.2">
      <c r="A139" s="5">
        <v>1</v>
      </c>
      <c r="B139" s="5" t="s">
        <v>18</v>
      </c>
      <c r="C139" s="5" t="s">
        <v>16</v>
      </c>
      <c r="D139" s="5">
        <v>70</v>
      </c>
      <c r="E139" s="5">
        <v>55</v>
      </c>
      <c r="F139" s="5">
        <v>56</v>
      </c>
      <c r="G139" s="5">
        <v>181</v>
      </c>
      <c r="H139" s="16">
        <v>60.3333333333333</v>
      </c>
    </row>
    <row r="140" spans="1:8" ht="16" x14ac:dyDescent="0.2">
      <c r="A140" s="5">
        <v>0</v>
      </c>
      <c r="B140" s="5" t="s">
        <v>10</v>
      </c>
      <c r="C140" s="5" t="s">
        <v>14</v>
      </c>
      <c r="D140" s="5">
        <v>59</v>
      </c>
      <c r="E140" s="5">
        <v>66</v>
      </c>
      <c r="F140" s="5">
        <v>67</v>
      </c>
      <c r="G140" s="5">
        <v>192</v>
      </c>
      <c r="H140" s="16">
        <v>64</v>
      </c>
    </row>
    <row r="141" spans="1:8" ht="16" x14ac:dyDescent="0.2">
      <c r="A141" s="5">
        <v>1</v>
      </c>
      <c r="B141" s="5" t="s">
        <v>15</v>
      </c>
      <c r="C141" s="5" t="s">
        <v>11</v>
      </c>
      <c r="D141" s="5">
        <v>71</v>
      </c>
      <c r="E141" s="5">
        <v>61</v>
      </c>
      <c r="F141" s="5">
        <v>69</v>
      </c>
      <c r="G141" s="5">
        <v>201</v>
      </c>
      <c r="H141" s="16">
        <v>67</v>
      </c>
    </row>
    <row r="142" spans="1:8" ht="16" x14ac:dyDescent="0.2">
      <c r="A142" s="5">
        <v>0</v>
      </c>
      <c r="B142" s="5" t="s">
        <v>15</v>
      </c>
      <c r="C142" s="5" t="s">
        <v>17</v>
      </c>
      <c r="D142" s="5">
        <v>76</v>
      </c>
      <c r="E142" s="5">
        <v>72</v>
      </c>
      <c r="F142" s="5">
        <v>71</v>
      </c>
      <c r="G142" s="5">
        <v>219</v>
      </c>
      <c r="H142" s="16">
        <v>73</v>
      </c>
    </row>
    <row r="143" spans="1:8" ht="16" x14ac:dyDescent="0.2">
      <c r="A143" s="5">
        <v>0</v>
      </c>
      <c r="B143" s="5" t="s">
        <v>10</v>
      </c>
      <c r="C143" s="5" t="s">
        <v>11</v>
      </c>
      <c r="D143" s="5">
        <v>59</v>
      </c>
      <c r="E143" s="5">
        <v>62</v>
      </c>
      <c r="F143" s="5">
        <v>64</v>
      </c>
      <c r="G143" s="5">
        <v>185</v>
      </c>
      <c r="H143" s="16">
        <v>61.6666666666666</v>
      </c>
    </row>
    <row r="144" spans="1:8" ht="16" x14ac:dyDescent="0.2">
      <c r="A144" s="5">
        <v>0</v>
      </c>
      <c r="B144" s="5" t="s">
        <v>18</v>
      </c>
      <c r="C144" s="5" t="s">
        <v>11</v>
      </c>
      <c r="D144" s="5">
        <v>42</v>
      </c>
      <c r="E144" s="5">
        <v>55</v>
      </c>
      <c r="F144" s="5">
        <v>54</v>
      </c>
      <c r="G144" s="5">
        <v>151</v>
      </c>
      <c r="H144" s="16">
        <v>50.3333333333333</v>
      </c>
    </row>
    <row r="145" spans="1:8" ht="16" x14ac:dyDescent="0.2">
      <c r="A145" s="5">
        <v>1</v>
      </c>
      <c r="B145" s="5" t="s">
        <v>13</v>
      </c>
      <c r="C145" s="5" t="s">
        <v>16</v>
      </c>
      <c r="D145" s="5">
        <v>57</v>
      </c>
      <c r="E145" s="5">
        <v>43</v>
      </c>
      <c r="F145" s="5">
        <v>47</v>
      </c>
      <c r="G145" s="5">
        <v>147</v>
      </c>
      <c r="H145" s="16">
        <v>49</v>
      </c>
    </row>
    <row r="146" spans="1:8" ht="16" x14ac:dyDescent="0.2">
      <c r="A146" s="5">
        <v>1</v>
      </c>
      <c r="B146" s="5" t="s">
        <v>15</v>
      </c>
      <c r="C146" s="5" t="s">
        <v>11</v>
      </c>
      <c r="D146" s="5">
        <v>88</v>
      </c>
      <c r="E146" s="5">
        <v>73</v>
      </c>
      <c r="F146" s="5">
        <v>78</v>
      </c>
      <c r="G146" s="5">
        <v>239</v>
      </c>
      <c r="H146" s="16">
        <v>79.6666666666666</v>
      </c>
    </row>
    <row r="147" spans="1:8" ht="16" x14ac:dyDescent="0.2">
      <c r="A147" s="5">
        <v>0</v>
      </c>
      <c r="B147" s="5" t="s">
        <v>10</v>
      </c>
      <c r="C147" s="5" t="s">
        <v>11</v>
      </c>
      <c r="D147" s="5">
        <v>22</v>
      </c>
      <c r="E147" s="5">
        <v>39</v>
      </c>
      <c r="F147" s="5">
        <v>33</v>
      </c>
      <c r="G147" s="5">
        <v>94</v>
      </c>
      <c r="H147" s="16">
        <v>31.3333333333333</v>
      </c>
    </row>
    <row r="148" spans="1:8" ht="16" x14ac:dyDescent="0.2">
      <c r="A148" s="5">
        <v>1</v>
      </c>
      <c r="B148" s="5" t="s">
        <v>8</v>
      </c>
      <c r="C148" s="5" t="s">
        <v>17</v>
      </c>
      <c r="D148" s="5">
        <v>88</v>
      </c>
      <c r="E148" s="5">
        <v>84</v>
      </c>
      <c r="F148" s="5">
        <v>75</v>
      </c>
      <c r="G148" s="5">
        <v>247</v>
      </c>
      <c r="H148" s="16">
        <v>82.3333333333333</v>
      </c>
    </row>
    <row r="149" spans="1:8" ht="16" x14ac:dyDescent="0.2">
      <c r="A149" s="5">
        <v>1</v>
      </c>
      <c r="B149" s="5" t="s">
        <v>10</v>
      </c>
      <c r="C149" s="5" t="s">
        <v>14</v>
      </c>
      <c r="D149" s="5">
        <v>73</v>
      </c>
      <c r="E149" s="5">
        <v>68</v>
      </c>
      <c r="F149" s="5">
        <v>66</v>
      </c>
      <c r="G149" s="5">
        <v>207</v>
      </c>
      <c r="H149" s="16">
        <v>69</v>
      </c>
    </row>
    <row r="150" spans="1:8" ht="16" x14ac:dyDescent="0.2">
      <c r="A150" s="5">
        <v>0</v>
      </c>
      <c r="B150" s="5" t="s">
        <v>15</v>
      </c>
      <c r="C150" s="5" t="s">
        <v>9</v>
      </c>
      <c r="D150" s="5">
        <v>68</v>
      </c>
      <c r="E150" s="5">
        <v>75</v>
      </c>
      <c r="F150" s="5">
        <v>81</v>
      </c>
      <c r="G150" s="5">
        <v>224</v>
      </c>
      <c r="H150" s="16">
        <v>74.6666666666666</v>
      </c>
    </row>
    <row r="151" spans="1:8" ht="16" x14ac:dyDescent="0.2">
      <c r="A151" s="5">
        <v>1</v>
      </c>
      <c r="B151" s="5" t="s">
        <v>18</v>
      </c>
      <c r="C151" s="5" t="s">
        <v>14</v>
      </c>
      <c r="D151" s="5">
        <v>100</v>
      </c>
      <c r="E151" s="5">
        <v>100</v>
      </c>
      <c r="F151" s="5">
        <v>93</v>
      </c>
      <c r="G151" s="5">
        <v>293</v>
      </c>
      <c r="H151" s="16">
        <v>97.6666666666666</v>
      </c>
    </row>
    <row r="152" spans="1:8" ht="16" x14ac:dyDescent="0.2">
      <c r="A152" s="5">
        <v>1</v>
      </c>
      <c r="B152" s="5" t="s">
        <v>13</v>
      </c>
      <c r="C152" s="5" t="s">
        <v>17</v>
      </c>
      <c r="D152" s="5">
        <v>62</v>
      </c>
      <c r="E152" s="5">
        <v>67</v>
      </c>
      <c r="F152" s="5">
        <v>69</v>
      </c>
      <c r="G152" s="5">
        <v>198</v>
      </c>
      <c r="H152" s="16">
        <v>66</v>
      </c>
    </row>
    <row r="153" spans="1:8" ht="16" x14ac:dyDescent="0.2">
      <c r="A153" s="5">
        <v>1</v>
      </c>
      <c r="B153" s="5" t="s">
        <v>13</v>
      </c>
      <c r="C153" s="5" t="s">
        <v>9</v>
      </c>
      <c r="D153" s="5">
        <v>77</v>
      </c>
      <c r="E153" s="5">
        <v>67</v>
      </c>
      <c r="F153" s="5">
        <v>68</v>
      </c>
      <c r="G153" s="5">
        <v>212</v>
      </c>
      <c r="H153" s="16">
        <v>70.6666666666666</v>
      </c>
    </row>
    <row r="154" spans="1:8" ht="16" x14ac:dyDescent="0.2">
      <c r="A154" s="5">
        <v>0</v>
      </c>
      <c r="B154" s="5" t="s">
        <v>8</v>
      </c>
      <c r="C154" s="5" t="s">
        <v>14</v>
      </c>
      <c r="D154" s="5">
        <v>59</v>
      </c>
      <c r="E154" s="5">
        <v>70</v>
      </c>
      <c r="F154" s="5">
        <v>66</v>
      </c>
      <c r="G154" s="5">
        <v>195</v>
      </c>
      <c r="H154" s="16">
        <v>65</v>
      </c>
    </row>
    <row r="155" spans="1:8" ht="16" x14ac:dyDescent="0.2">
      <c r="A155" s="5">
        <v>1</v>
      </c>
      <c r="B155" s="5" t="s">
        <v>15</v>
      </c>
      <c r="C155" s="5" t="s">
        <v>9</v>
      </c>
      <c r="D155" s="5">
        <v>54</v>
      </c>
      <c r="E155" s="5">
        <v>49</v>
      </c>
      <c r="F155" s="5">
        <v>47</v>
      </c>
      <c r="G155" s="5">
        <v>150</v>
      </c>
      <c r="H155" s="16">
        <v>50</v>
      </c>
    </row>
    <row r="156" spans="1:8" ht="16" x14ac:dyDescent="0.2">
      <c r="A156" s="5">
        <v>1</v>
      </c>
      <c r="B156" s="5" t="s">
        <v>15</v>
      </c>
      <c r="C156" s="5" t="s">
        <v>17</v>
      </c>
      <c r="D156" s="5">
        <v>62</v>
      </c>
      <c r="E156" s="5">
        <v>67</v>
      </c>
      <c r="F156" s="5">
        <v>61</v>
      </c>
      <c r="G156" s="5">
        <v>190</v>
      </c>
      <c r="H156" s="16">
        <v>63.3333333333333</v>
      </c>
    </row>
    <row r="157" spans="1:8" ht="16" x14ac:dyDescent="0.2">
      <c r="A157" s="5">
        <v>0</v>
      </c>
      <c r="B157" s="5" t="s">
        <v>10</v>
      </c>
      <c r="C157" s="5" t="s">
        <v>11</v>
      </c>
      <c r="D157" s="5">
        <v>70</v>
      </c>
      <c r="E157" s="5">
        <v>89</v>
      </c>
      <c r="F157" s="5">
        <v>88</v>
      </c>
      <c r="G157" s="5">
        <v>247</v>
      </c>
      <c r="H157" s="16">
        <v>82.3333333333333</v>
      </c>
    </row>
    <row r="158" spans="1:8" ht="16" x14ac:dyDescent="0.2">
      <c r="A158" s="5">
        <v>0</v>
      </c>
      <c r="B158" s="5" t="s">
        <v>18</v>
      </c>
      <c r="C158" s="5" t="s">
        <v>16</v>
      </c>
      <c r="D158" s="5">
        <v>66</v>
      </c>
      <c r="E158" s="5">
        <v>74</v>
      </c>
      <c r="F158" s="5">
        <v>78</v>
      </c>
      <c r="G158" s="5">
        <v>218</v>
      </c>
      <c r="H158" s="16">
        <v>72.6666666666666</v>
      </c>
    </row>
    <row r="159" spans="1:8" ht="16" x14ac:dyDescent="0.2">
      <c r="A159" s="5">
        <v>1</v>
      </c>
      <c r="B159" s="5" t="s">
        <v>8</v>
      </c>
      <c r="C159" s="5" t="s">
        <v>11</v>
      </c>
      <c r="D159" s="5">
        <v>60</v>
      </c>
      <c r="E159" s="5">
        <v>60</v>
      </c>
      <c r="F159" s="5">
        <v>60</v>
      </c>
      <c r="G159" s="5">
        <v>180</v>
      </c>
      <c r="H159" s="16">
        <v>60</v>
      </c>
    </row>
    <row r="160" spans="1:8" ht="16" x14ac:dyDescent="0.2">
      <c r="A160" s="5">
        <v>0</v>
      </c>
      <c r="B160" s="5" t="s">
        <v>8</v>
      </c>
      <c r="C160" s="5" t="s">
        <v>14</v>
      </c>
      <c r="D160" s="5">
        <v>61</v>
      </c>
      <c r="E160" s="5">
        <v>86</v>
      </c>
      <c r="F160" s="5">
        <v>87</v>
      </c>
      <c r="G160" s="5">
        <v>234</v>
      </c>
      <c r="H160" s="16">
        <v>78</v>
      </c>
    </row>
    <row r="161" spans="1:8" ht="16" x14ac:dyDescent="0.2">
      <c r="A161" s="5">
        <v>1</v>
      </c>
      <c r="B161" s="5" t="s">
        <v>15</v>
      </c>
      <c r="C161" s="5" t="s">
        <v>14</v>
      </c>
      <c r="D161" s="5">
        <v>66</v>
      </c>
      <c r="E161" s="5">
        <v>62</v>
      </c>
      <c r="F161" s="5">
        <v>64</v>
      </c>
      <c r="G161" s="5">
        <v>192</v>
      </c>
      <c r="H161" s="16">
        <v>64</v>
      </c>
    </row>
    <row r="162" spans="1:8" ht="16" x14ac:dyDescent="0.2">
      <c r="A162" s="5">
        <v>1</v>
      </c>
      <c r="B162" s="5" t="s">
        <v>8</v>
      </c>
      <c r="C162" s="5" t="s">
        <v>14</v>
      </c>
      <c r="D162" s="5">
        <v>82</v>
      </c>
      <c r="E162" s="5">
        <v>78</v>
      </c>
      <c r="F162" s="5">
        <v>74</v>
      </c>
      <c r="G162" s="5">
        <v>234</v>
      </c>
      <c r="H162" s="16">
        <v>78</v>
      </c>
    </row>
    <row r="163" spans="1:8" ht="16" x14ac:dyDescent="0.2">
      <c r="A163" s="5">
        <v>0</v>
      </c>
      <c r="B163" s="5" t="s">
        <v>18</v>
      </c>
      <c r="C163" s="5" t="s">
        <v>11</v>
      </c>
      <c r="D163" s="5">
        <v>75</v>
      </c>
      <c r="E163" s="5">
        <v>88</v>
      </c>
      <c r="F163" s="5">
        <v>85</v>
      </c>
      <c r="G163" s="5">
        <v>248</v>
      </c>
      <c r="H163" s="16">
        <v>82.6666666666666</v>
      </c>
    </row>
    <row r="164" spans="1:8" ht="16" x14ac:dyDescent="0.2">
      <c r="A164" s="5">
        <v>1</v>
      </c>
      <c r="B164" s="5" t="s">
        <v>8</v>
      </c>
      <c r="C164" s="5" t="s">
        <v>12</v>
      </c>
      <c r="D164" s="5">
        <v>49</v>
      </c>
      <c r="E164" s="5">
        <v>53</v>
      </c>
      <c r="F164" s="5">
        <v>52</v>
      </c>
      <c r="G164" s="5">
        <v>154</v>
      </c>
      <c r="H164" s="16">
        <v>51.3333333333333</v>
      </c>
    </row>
    <row r="165" spans="1:8" ht="16" x14ac:dyDescent="0.2">
      <c r="A165" s="5">
        <v>1</v>
      </c>
      <c r="B165" s="5" t="s">
        <v>10</v>
      </c>
      <c r="C165" s="5" t="s">
        <v>16</v>
      </c>
      <c r="D165" s="5">
        <v>52</v>
      </c>
      <c r="E165" s="5">
        <v>53</v>
      </c>
      <c r="F165" s="5">
        <v>49</v>
      </c>
      <c r="G165" s="5">
        <v>154</v>
      </c>
      <c r="H165" s="16">
        <v>51.3333333333333</v>
      </c>
    </row>
    <row r="166" spans="1:8" ht="16" x14ac:dyDescent="0.2">
      <c r="A166" s="5">
        <v>0</v>
      </c>
      <c r="B166" s="5" t="s">
        <v>18</v>
      </c>
      <c r="C166" s="5" t="s">
        <v>12</v>
      </c>
      <c r="D166" s="5">
        <v>81</v>
      </c>
      <c r="E166" s="5">
        <v>92</v>
      </c>
      <c r="F166" s="5">
        <v>91</v>
      </c>
      <c r="G166" s="5">
        <v>264</v>
      </c>
      <c r="H166" s="16">
        <v>88</v>
      </c>
    </row>
    <row r="167" spans="1:8" ht="16" x14ac:dyDescent="0.2">
      <c r="A167" s="5">
        <v>0</v>
      </c>
      <c r="B167" s="5" t="s">
        <v>10</v>
      </c>
      <c r="C167" s="5" t="s">
        <v>9</v>
      </c>
      <c r="D167" s="5">
        <v>96</v>
      </c>
      <c r="E167" s="5">
        <v>100</v>
      </c>
      <c r="F167" s="5">
        <v>100</v>
      </c>
      <c r="G167" s="5">
        <v>296</v>
      </c>
      <c r="H167" s="16">
        <v>98.6666666666666</v>
      </c>
    </row>
    <row r="168" spans="1:8" ht="16" x14ac:dyDescent="0.2">
      <c r="A168" s="5">
        <v>1</v>
      </c>
      <c r="B168" s="5" t="s">
        <v>10</v>
      </c>
      <c r="C168" s="5" t="s">
        <v>16</v>
      </c>
      <c r="D168" s="5">
        <v>53</v>
      </c>
      <c r="E168" s="5">
        <v>51</v>
      </c>
      <c r="F168" s="5">
        <v>51</v>
      </c>
      <c r="G168" s="5">
        <v>155</v>
      </c>
      <c r="H168" s="16">
        <v>51.6666666666666</v>
      </c>
    </row>
    <row r="169" spans="1:8" ht="16" x14ac:dyDescent="0.2">
      <c r="A169" s="5">
        <v>0</v>
      </c>
      <c r="B169" s="5" t="s">
        <v>8</v>
      </c>
      <c r="C169" s="5" t="s">
        <v>12</v>
      </c>
      <c r="D169" s="5">
        <v>58</v>
      </c>
      <c r="E169" s="5">
        <v>76</v>
      </c>
      <c r="F169" s="5">
        <v>78</v>
      </c>
      <c r="G169" s="5">
        <v>212</v>
      </c>
      <c r="H169" s="16">
        <v>70.6666666666666</v>
      </c>
    </row>
    <row r="170" spans="1:8" ht="16" x14ac:dyDescent="0.2">
      <c r="A170" s="5">
        <v>0</v>
      </c>
      <c r="B170" s="5" t="s">
        <v>8</v>
      </c>
      <c r="C170" s="5" t="s">
        <v>16</v>
      </c>
      <c r="D170" s="5">
        <v>68</v>
      </c>
      <c r="E170" s="5">
        <v>83</v>
      </c>
      <c r="F170" s="5">
        <v>78</v>
      </c>
      <c r="G170" s="5">
        <v>229</v>
      </c>
      <c r="H170" s="16">
        <v>76.3333333333333</v>
      </c>
    </row>
    <row r="171" spans="1:8" ht="16" x14ac:dyDescent="0.2">
      <c r="A171" s="5">
        <v>0</v>
      </c>
      <c r="B171" s="5" t="s">
        <v>10</v>
      </c>
      <c r="C171" s="5" t="s">
        <v>11</v>
      </c>
      <c r="D171" s="5">
        <v>67</v>
      </c>
      <c r="E171" s="5">
        <v>75</v>
      </c>
      <c r="F171" s="5">
        <v>70</v>
      </c>
      <c r="G171" s="5">
        <v>212</v>
      </c>
      <c r="H171" s="16">
        <v>70.6666666666666</v>
      </c>
    </row>
    <row r="172" spans="1:8" ht="16" x14ac:dyDescent="0.2">
      <c r="A172" s="5">
        <v>1</v>
      </c>
      <c r="B172" s="5" t="s">
        <v>13</v>
      </c>
      <c r="C172" s="5" t="s">
        <v>16</v>
      </c>
      <c r="D172" s="5">
        <v>72</v>
      </c>
      <c r="E172" s="5">
        <v>73</v>
      </c>
      <c r="F172" s="5">
        <v>74</v>
      </c>
      <c r="G172" s="5">
        <v>219</v>
      </c>
      <c r="H172" s="16">
        <v>73</v>
      </c>
    </row>
    <row r="173" spans="1:8" ht="16" x14ac:dyDescent="0.2">
      <c r="A173" s="5">
        <v>1</v>
      </c>
      <c r="B173" s="5" t="s">
        <v>18</v>
      </c>
      <c r="C173" s="5" t="s">
        <v>17</v>
      </c>
      <c r="D173" s="5">
        <v>94</v>
      </c>
      <c r="E173" s="5">
        <v>88</v>
      </c>
      <c r="F173" s="5">
        <v>78</v>
      </c>
      <c r="G173" s="5">
        <v>260</v>
      </c>
      <c r="H173" s="16">
        <v>86.6666666666666</v>
      </c>
    </row>
    <row r="174" spans="1:8" ht="16" x14ac:dyDescent="0.2">
      <c r="A174" s="5">
        <v>0</v>
      </c>
      <c r="B174" s="5" t="s">
        <v>15</v>
      </c>
      <c r="C174" s="5" t="s">
        <v>11</v>
      </c>
      <c r="D174" s="5">
        <v>79</v>
      </c>
      <c r="E174" s="5">
        <v>86</v>
      </c>
      <c r="F174" s="5">
        <v>81</v>
      </c>
      <c r="G174" s="5">
        <v>246</v>
      </c>
      <c r="H174" s="16">
        <v>82</v>
      </c>
    </row>
    <row r="175" spans="1:8" ht="16" x14ac:dyDescent="0.2">
      <c r="A175" s="5">
        <v>0</v>
      </c>
      <c r="B175" s="5" t="s">
        <v>10</v>
      </c>
      <c r="C175" s="5" t="s">
        <v>14</v>
      </c>
      <c r="D175" s="5">
        <v>63</v>
      </c>
      <c r="E175" s="5">
        <v>67</v>
      </c>
      <c r="F175" s="5">
        <v>70</v>
      </c>
      <c r="G175" s="5">
        <v>200</v>
      </c>
      <c r="H175" s="16">
        <v>66.6666666666666</v>
      </c>
    </row>
    <row r="176" spans="1:8" ht="16" x14ac:dyDescent="0.2">
      <c r="A176" s="5">
        <v>0</v>
      </c>
      <c r="B176" s="5" t="s">
        <v>10</v>
      </c>
      <c r="C176" s="5" t="s">
        <v>9</v>
      </c>
      <c r="D176" s="5">
        <v>43</v>
      </c>
      <c r="E176" s="5">
        <v>51</v>
      </c>
      <c r="F176" s="5">
        <v>54</v>
      </c>
      <c r="G176" s="5">
        <v>148</v>
      </c>
      <c r="H176" s="16">
        <v>49.3333333333333</v>
      </c>
    </row>
    <row r="177" spans="1:8" ht="16" x14ac:dyDescent="0.2">
      <c r="A177" s="5">
        <v>0</v>
      </c>
      <c r="B177" s="5" t="s">
        <v>10</v>
      </c>
      <c r="C177" s="5" t="s">
        <v>12</v>
      </c>
      <c r="D177" s="5">
        <v>81</v>
      </c>
      <c r="E177" s="5">
        <v>91</v>
      </c>
      <c r="F177" s="5">
        <v>87</v>
      </c>
      <c r="G177" s="5">
        <v>259</v>
      </c>
      <c r="H177" s="16">
        <v>86.3333333333333</v>
      </c>
    </row>
    <row r="178" spans="1:8" ht="16" x14ac:dyDescent="0.2">
      <c r="A178" s="5">
        <v>0</v>
      </c>
      <c r="B178" s="5" t="s">
        <v>8</v>
      </c>
      <c r="C178" s="5" t="s">
        <v>16</v>
      </c>
      <c r="D178" s="5">
        <v>46</v>
      </c>
      <c r="E178" s="5">
        <v>54</v>
      </c>
      <c r="F178" s="5">
        <v>58</v>
      </c>
      <c r="G178" s="5">
        <v>158</v>
      </c>
      <c r="H178" s="16">
        <v>52.6666666666666</v>
      </c>
    </row>
    <row r="179" spans="1:8" ht="16" x14ac:dyDescent="0.2">
      <c r="A179" s="5">
        <v>0</v>
      </c>
      <c r="B179" s="5" t="s">
        <v>10</v>
      </c>
      <c r="C179" s="5" t="s">
        <v>14</v>
      </c>
      <c r="D179" s="5">
        <v>71</v>
      </c>
      <c r="E179" s="5">
        <v>77</v>
      </c>
      <c r="F179" s="5">
        <v>77</v>
      </c>
      <c r="G179" s="5">
        <v>225</v>
      </c>
      <c r="H179" s="16">
        <v>75</v>
      </c>
    </row>
    <row r="180" spans="1:8" ht="16" x14ac:dyDescent="0.2">
      <c r="A180" s="5">
        <v>0</v>
      </c>
      <c r="B180" s="5" t="s">
        <v>8</v>
      </c>
      <c r="C180" s="5" t="s">
        <v>12</v>
      </c>
      <c r="D180" s="5">
        <v>52</v>
      </c>
      <c r="E180" s="5">
        <v>70</v>
      </c>
      <c r="F180" s="5">
        <v>62</v>
      </c>
      <c r="G180" s="5">
        <v>184</v>
      </c>
      <c r="H180" s="16">
        <v>61.3333333333333</v>
      </c>
    </row>
    <row r="181" spans="1:8" ht="16" x14ac:dyDescent="0.2">
      <c r="A181" s="5">
        <v>0</v>
      </c>
      <c r="B181" s="5" t="s">
        <v>15</v>
      </c>
      <c r="C181" s="5" t="s">
        <v>17</v>
      </c>
      <c r="D181" s="5">
        <v>97</v>
      </c>
      <c r="E181" s="5">
        <v>100</v>
      </c>
      <c r="F181" s="5">
        <v>100</v>
      </c>
      <c r="G181" s="5">
        <v>297</v>
      </c>
      <c r="H181" s="16">
        <v>99</v>
      </c>
    </row>
    <row r="182" spans="1:8" ht="16" x14ac:dyDescent="0.2">
      <c r="A182" s="5">
        <v>1</v>
      </c>
      <c r="B182" s="5" t="s">
        <v>10</v>
      </c>
      <c r="C182" s="5" t="s">
        <v>12</v>
      </c>
      <c r="D182" s="5">
        <v>62</v>
      </c>
      <c r="E182" s="5">
        <v>68</v>
      </c>
      <c r="F182" s="5">
        <v>75</v>
      </c>
      <c r="G182" s="5">
        <v>205</v>
      </c>
      <c r="H182" s="16">
        <v>68.3333333333333</v>
      </c>
    </row>
    <row r="183" spans="1:8" ht="16" x14ac:dyDescent="0.2">
      <c r="A183" s="5">
        <v>0</v>
      </c>
      <c r="B183" s="5" t="s">
        <v>10</v>
      </c>
      <c r="C183" s="5" t="s">
        <v>11</v>
      </c>
      <c r="D183" s="5">
        <v>46</v>
      </c>
      <c r="E183" s="5">
        <v>64</v>
      </c>
      <c r="F183" s="5">
        <v>66</v>
      </c>
      <c r="G183" s="5">
        <v>176</v>
      </c>
      <c r="H183" s="16">
        <v>58.6666666666666</v>
      </c>
    </row>
    <row r="184" spans="1:8" ht="16" x14ac:dyDescent="0.2">
      <c r="A184" s="5">
        <v>0</v>
      </c>
      <c r="B184" s="5" t="s">
        <v>18</v>
      </c>
      <c r="C184" s="5" t="s">
        <v>16</v>
      </c>
      <c r="D184" s="5">
        <v>50</v>
      </c>
      <c r="E184" s="5">
        <v>50</v>
      </c>
      <c r="F184" s="5">
        <v>47</v>
      </c>
      <c r="G184" s="5">
        <v>147</v>
      </c>
      <c r="H184" s="16">
        <v>49</v>
      </c>
    </row>
    <row r="185" spans="1:8" ht="16" x14ac:dyDescent="0.2">
      <c r="A185" s="5">
        <v>0</v>
      </c>
      <c r="B185" s="5" t="s">
        <v>15</v>
      </c>
      <c r="C185" s="5" t="s">
        <v>14</v>
      </c>
      <c r="D185" s="5">
        <v>65</v>
      </c>
      <c r="E185" s="5">
        <v>69</v>
      </c>
      <c r="F185" s="5">
        <v>70</v>
      </c>
      <c r="G185" s="5">
        <v>204</v>
      </c>
      <c r="H185" s="16">
        <v>68</v>
      </c>
    </row>
    <row r="186" spans="1:8" ht="16" x14ac:dyDescent="0.2">
      <c r="A186" s="5">
        <v>1</v>
      </c>
      <c r="B186" s="5" t="s">
        <v>10</v>
      </c>
      <c r="C186" s="5" t="s">
        <v>17</v>
      </c>
      <c r="D186" s="5">
        <v>45</v>
      </c>
      <c r="E186" s="5">
        <v>52</v>
      </c>
      <c r="F186" s="5">
        <v>49</v>
      </c>
      <c r="G186" s="5">
        <v>146</v>
      </c>
      <c r="H186" s="16">
        <v>48.6666666666666</v>
      </c>
    </row>
    <row r="187" spans="1:8" ht="16" x14ac:dyDescent="0.2">
      <c r="A187" s="5">
        <v>1</v>
      </c>
      <c r="B187" s="5" t="s">
        <v>10</v>
      </c>
      <c r="C187" s="5" t="s">
        <v>14</v>
      </c>
      <c r="D187" s="5">
        <v>65</v>
      </c>
      <c r="E187" s="5">
        <v>67</v>
      </c>
      <c r="F187" s="5">
        <v>65</v>
      </c>
      <c r="G187" s="5">
        <v>197</v>
      </c>
      <c r="H187" s="16">
        <v>65.6666666666666</v>
      </c>
    </row>
    <row r="188" spans="1:8" ht="16" x14ac:dyDescent="0.2">
      <c r="A188" s="5">
        <v>1</v>
      </c>
      <c r="B188" s="5" t="s">
        <v>18</v>
      </c>
      <c r="C188" s="5" t="s">
        <v>16</v>
      </c>
      <c r="D188" s="5">
        <v>80</v>
      </c>
      <c r="E188" s="5">
        <v>76</v>
      </c>
      <c r="F188" s="5">
        <v>65</v>
      </c>
      <c r="G188" s="5">
        <v>221</v>
      </c>
      <c r="H188" s="16">
        <v>73.6666666666666</v>
      </c>
    </row>
    <row r="189" spans="1:8" ht="16" x14ac:dyDescent="0.2">
      <c r="A189" s="5">
        <v>1</v>
      </c>
      <c r="B189" s="5" t="s">
        <v>15</v>
      </c>
      <c r="C189" s="5" t="s">
        <v>17</v>
      </c>
      <c r="D189" s="5">
        <v>62</v>
      </c>
      <c r="E189" s="5">
        <v>66</v>
      </c>
      <c r="F189" s="5">
        <v>68</v>
      </c>
      <c r="G189" s="5">
        <v>196</v>
      </c>
      <c r="H189" s="16">
        <v>65.3333333333333</v>
      </c>
    </row>
    <row r="190" spans="1:8" ht="16" x14ac:dyDescent="0.2">
      <c r="A190" s="5">
        <v>1</v>
      </c>
      <c r="B190" s="5" t="s">
        <v>8</v>
      </c>
      <c r="C190" s="5" t="s">
        <v>17</v>
      </c>
      <c r="D190" s="5">
        <v>48</v>
      </c>
      <c r="E190" s="5">
        <v>52</v>
      </c>
      <c r="F190" s="5">
        <v>45</v>
      </c>
      <c r="G190" s="5">
        <v>145</v>
      </c>
      <c r="H190" s="16">
        <v>48.3333333333333</v>
      </c>
    </row>
    <row r="191" spans="1:8" ht="16" x14ac:dyDescent="0.2">
      <c r="A191" s="5">
        <v>0</v>
      </c>
      <c r="B191" s="5" t="s">
        <v>10</v>
      </c>
      <c r="C191" s="5" t="s">
        <v>9</v>
      </c>
      <c r="D191" s="5">
        <v>77</v>
      </c>
      <c r="E191" s="5">
        <v>88</v>
      </c>
      <c r="F191" s="5">
        <v>87</v>
      </c>
      <c r="G191" s="5">
        <v>252</v>
      </c>
      <c r="H191" s="16">
        <v>84</v>
      </c>
    </row>
    <row r="192" spans="1:8" ht="16" x14ac:dyDescent="0.2">
      <c r="A192" s="5">
        <v>0</v>
      </c>
      <c r="B192" s="5" t="s">
        <v>18</v>
      </c>
      <c r="C192" s="5" t="s">
        <v>14</v>
      </c>
      <c r="D192" s="5">
        <v>66</v>
      </c>
      <c r="E192" s="5">
        <v>65</v>
      </c>
      <c r="F192" s="5">
        <v>69</v>
      </c>
      <c r="G192" s="5">
        <v>200</v>
      </c>
      <c r="H192" s="16">
        <v>66.6666666666666</v>
      </c>
    </row>
    <row r="193" spans="1:8" ht="16" x14ac:dyDescent="0.2">
      <c r="A193" s="5">
        <v>1</v>
      </c>
      <c r="B193" s="5" t="s">
        <v>15</v>
      </c>
      <c r="C193" s="5" t="s">
        <v>11</v>
      </c>
      <c r="D193" s="5">
        <v>76</v>
      </c>
      <c r="E193" s="5">
        <v>83</v>
      </c>
      <c r="F193" s="5">
        <v>79</v>
      </c>
      <c r="G193" s="5">
        <v>238</v>
      </c>
      <c r="H193" s="16">
        <v>79.3333333333333</v>
      </c>
    </row>
    <row r="194" spans="1:8" ht="16" x14ac:dyDescent="0.2">
      <c r="A194" s="5">
        <v>0</v>
      </c>
      <c r="B194" s="5" t="s">
        <v>8</v>
      </c>
      <c r="C194" s="5" t="s">
        <v>17</v>
      </c>
      <c r="D194" s="5">
        <v>62</v>
      </c>
      <c r="E194" s="5">
        <v>64</v>
      </c>
      <c r="F194" s="5">
        <v>66</v>
      </c>
      <c r="G194" s="5">
        <v>192</v>
      </c>
      <c r="H194" s="16">
        <v>64</v>
      </c>
    </row>
    <row r="195" spans="1:8" ht="16" x14ac:dyDescent="0.2">
      <c r="A195" s="5">
        <v>1</v>
      </c>
      <c r="B195" s="5" t="s">
        <v>15</v>
      </c>
      <c r="C195" s="5" t="s">
        <v>11</v>
      </c>
      <c r="D195" s="5">
        <v>77</v>
      </c>
      <c r="E195" s="5">
        <v>62</v>
      </c>
      <c r="F195" s="5">
        <v>62</v>
      </c>
      <c r="G195" s="5">
        <v>201</v>
      </c>
      <c r="H195" s="16">
        <v>67</v>
      </c>
    </row>
    <row r="196" spans="1:8" ht="16" x14ac:dyDescent="0.2">
      <c r="A196" s="5">
        <v>0</v>
      </c>
      <c r="B196" s="5" t="s">
        <v>10</v>
      </c>
      <c r="C196" s="5" t="s">
        <v>12</v>
      </c>
      <c r="D196" s="5">
        <v>69</v>
      </c>
      <c r="E196" s="5">
        <v>84</v>
      </c>
      <c r="F196" s="5">
        <v>85</v>
      </c>
      <c r="G196" s="5">
        <v>238</v>
      </c>
      <c r="H196" s="16">
        <v>79.3333333333333</v>
      </c>
    </row>
    <row r="197" spans="1:8" ht="16" x14ac:dyDescent="0.2">
      <c r="A197" s="5">
        <v>1</v>
      </c>
      <c r="B197" s="5" t="s">
        <v>15</v>
      </c>
      <c r="C197" s="5" t="s">
        <v>14</v>
      </c>
      <c r="D197" s="5">
        <v>61</v>
      </c>
      <c r="E197" s="5">
        <v>55</v>
      </c>
      <c r="F197" s="5">
        <v>52</v>
      </c>
      <c r="G197" s="5">
        <v>168</v>
      </c>
      <c r="H197" s="16">
        <v>56</v>
      </c>
    </row>
    <row r="198" spans="1:8" ht="16" x14ac:dyDescent="0.2">
      <c r="A198" s="5">
        <v>1</v>
      </c>
      <c r="B198" s="5" t="s">
        <v>10</v>
      </c>
      <c r="C198" s="5" t="s">
        <v>17</v>
      </c>
      <c r="D198" s="5">
        <v>59</v>
      </c>
      <c r="E198" s="5">
        <v>69</v>
      </c>
      <c r="F198" s="5">
        <v>65</v>
      </c>
      <c r="G198" s="5">
        <v>193</v>
      </c>
      <c r="H198" s="16">
        <v>64.3333333333333</v>
      </c>
    </row>
    <row r="199" spans="1:8" ht="16" x14ac:dyDescent="0.2">
      <c r="A199" s="5">
        <v>1</v>
      </c>
      <c r="B199" s="5" t="s">
        <v>18</v>
      </c>
      <c r="C199" s="5" t="s">
        <v>16</v>
      </c>
      <c r="D199" s="5">
        <v>55</v>
      </c>
      <c r="E199" s="5">
        <v>56</v>
      </c>
      <c r="F199" s="5">
        <v>51</v>
      </c>
      <c r="G199" s="5">
        <v>162</v>
      </c>
      <c r="H199" s="16">
        <v>54</v>
      </c>
    </row>
    <row r="200" spans="1:8" ht="16" x14ac:dyDescent="0.2">
      <c r="A200" s="5">
        <v>0</v>
      </c>
      <c r="B200" s="5" t="s">
        <v>8</v>
      </c>
      <c r="C200" s="5" t="s">
        <v>11</v>
      </c>
      <c r="D200" s="5">
        <v>45</v>
      </c>
      <c r="E200" s="5">
        <v>53</v>
      </c>
      <c r="F200" s="5">
        <v>55</v>
      </c>
      <c r="G200" s="5">
        <v>153</v>
      </c>
      <c r="H200" s="16">
        <v>51</v>
      </c>
    </row>
    <row r="201" spans="1:8" x14ac:dyDescent="0.2">
      <c r="H2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Descriptive Statistics</vt:lpstr>
      <vt:lpstr>Cleaned_Students_Performance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 THI THUY HIEN</cp:lastModifiedBy>
  <dcterms:created xsi:type="dcterms:W3CDTF">2024-12-20T02:36:08Z</dcterms:created>
  <dcterms:modified xsi:type="dcterms:W3CDTF">2026-07-25T09:09:28Z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2025-04-02T03:18:20Z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0d5f3e43-23a8-4a49-ae94-00ca286a0b61</vt:lpwstr>
  </property>
  <property fmtid="{D5CDD505-2E9C-101B-9397-08002B2CF9AE}" pid="7" name="MSIP_Label_defa4170-0d19-0005-0004-bc88714345d2_ActionId">
    <vt:lpwstr>c8c8c20e-13bd-4e33-ba55-fd51df10cd03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